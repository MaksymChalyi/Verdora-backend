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4"/>
    <sheet state="visible" name="Team-1 300523-be-e" sheetId="2" r:id="rId5"/>
    <sheet state="visible" name="Team-2 300523-be-e" sheetId="3" r:id="rId6"/>
    <sheet state="visible" name="Итоги" sheetId="4" r:id="rId7"/>
  </sheets>
  <definedNames/>
  <calcPr/>
  <extLst>
    <ext uri="GoogleSheetsCustomDataVersion2">
      <go:sheetsCustomData xmlns:go="http://customooxmlschemas.google.com/" r:id="rId8" roundtripDataChecksum="wYKEu4NNBn6uevtiiOuThfYGnvl28velUKKy4uV1hcI="/>
    </ext>
  </extLst>
</workbook>
</file>

<file path=xl/sharedStrings.xml><?xml version="1.0" encoding="utf-8"?>
<sst xmlns="http://schemas.openxmlformats.org/spreadsheetml/2006/main" count="289" uniqueCount="109">
  <si>
    <r>
      <rPr>
        <rFont val="Arial"/>
        <b/>
        <sz val="11.0"/>
      </rPr>
      <t xml:space="preserve">Как заполнять такую таблицу на примере командного проекта на Frontend </t>
    </r>
    <r>
      <rPr>
        <rFont val="Arial"/>
        <b/>
        <color rgb="FF1155CC"/>
        <sz val="11.0"/>
        <u/>
      </rPr>
      <t>https://youtu.be/9KdLq9Jl2UA?si=bl27TLlZ62eLQGi0</t>
    </r>
    <r>
      <rPr>
        <rFont val="Arial"/>
        <b/>
        <sz val="11.0"/>
      </rPr>
      <t xml:space="preserve">  </t>
    </r>
  </si>
  <si>
    <t>Дата защиты</t>
  </si>
  <si>
    <t>Название команды</t>
  </si>
  <si>
    <t>Участники команды (ФИ)</t>
  </si>
  <si>
    <t>Ссылка на кодовую базу проекта (github)</t>
  </si>
  <si>
    <t>Ссылка на Jira</t>
  </si>
  <si>
    <t>Ссылка на презентацию команды</t>
  </si>
  <si>
    <t>Лист оценивания</t>
  </si>
  <si>
    <r>
      <rPr>
        <rFont val="Arial"/>
        <b/>
        <color rgb="FF000000"/>
        <sz val="13.0"/>
      </rPr>
      <t>Степень завершенности проекта</t>
    </r>
    <r>
      <rPr>
        <rFont val="Arial"/>
        <b val="0"/>
        <color rgb="FF000000"/>
        <sz val="13.0"/>
      </rPr>
      <t xml:space="preserve"> </t>
    </r>
  </si>
  <si>
    <t>Баллы (основной преподаватель)</t>
  </si>
  <si>
    <t>Баллы (приглашенный преподаватель)</t>
  </si>
  <si>
    <t>Комментарий
(основной преподаватель)</t>
  </si>
  <si>
    <t>Комментарий
(приглашенный преподаватель)</t>
  </si>
  <si>
    <t>Регистрация пользователя</t>
  </si>
  <si>
    <t>Аутентификация пользователя</t>
  </si>
  <si>
    <t>Редактирование профиля пользователя</t>
  </si>
  <si>
    <t>Удаление учетной записи</t>
  </si>
  <si>
    <t>Добавление нового товара</t>
  </si>
  <si>
    <t>Редактирование товара</t>
  </si>
  <si>
    <t>Удаление товара</t>
  </si>
  <si>
    <t>Добавление новой категории товаров</t>
  </si>
  <si>
    <t>Редактирование категории товаров</t>
  </si>
  <si>
    <t>Удаление категории товаров</t>
  </si>
  <si>
    <t>Получение списка товаров</t>
  </si>
  <si>
    <t>Получение детальной информации о товаре</t>
  </si>
  <si>
    <t>Получение списка категорий товаров</t>
  </si>
  <si>
    <t>Добавление товара в корзину</t>
  </si>
  <si>
    <t>Оформление заказа</t>
  </si>
  <si>
    <t>Просмотр статуса заказа</t>
  </si>
  <si>
    <t>История покупок пользователя</t>
  </si>
  <si>
    <t>Получение списка избранных товаров пользователя</t>
  </si>
  <si>
    <t>Качество кода</t>
  </si>
  <si>
    <t>Баллы</t>
  </si>
  <si>
    <t>Комментарий</t>
  </si>
  <si>
    <t>Читаемость: релевантные комментарии, отсутствие излишней вложенности.</t>
  </si>
  <si>
    <t>Принципы разработки: соответствие DRY, separation of concerns.</t>
  </si>
  <si>
    <t>Использование паттернов проектирования: применение подходящих паттернов для решения задач в проекте.</t>
  </si>
  <si>
    <t>Обработка исключений: наличие и адекватность обработки ошибок и исключительных ситуаций.</t>
  </si>
  <si>
    <t>Нейминг: переменные, функции, классы понятны и отражают назначение.</t>
  </si>
  <si>
    <t>Структурированность: модульность, переиспользование кода.</t>
  </si>
  <si>
    <t>API и документация</t>
  </si>
  <si>
    <t>RESTful API: соответствие спецификации, поддержка основных HTTP методов.</t>
  </si>
  <si>
    <t>Документация: подробное описание API, использование Swagger.</t>
  </si>
  <si>
    <t>Безопасность</t>
  </si>
  <si>
    <t>Безопасность: реализация через Spring Security, JWT.</t>
  </si>
  <si>
    <t>Оптимизация: минимизация HTTP-запросов, эффективное использование базы данных.</t>
  </si>
  <si>
    <t>Работа в Git</t>
  </si>
  <si>
    <t>Есть регулярные коммиты</t>
  </si>
  <si>
    <t>Сообщения в коммитах информативные</t>
  </si>
  <si>
    <t>Все пул-реквесты одобрены другими членами команды</t>
  </si>
  <si>
    <t>Конструктивная коммуникация в комментариях пул-реквестов</t>
  </si>
  <si>
    <t>В gitignor добавлены необходимые папки и файлы, которые не нужно отслеживать</t>
  </si>
  <si>
    <t>Для работы над задачами создаются отдельные ветки</t>
  </si>
  <si>
    <t>Задачи в Jira</t>
  </si>
  <si>
    <t>Все задачи занесены в Jira</t>
  </si>
  <si>
    <t>Задачи разделены по спринтам 1-4</t>
  </si>
  <si>
    <t>Задачи описаны достаточно точно и детально, чтобы понять суть работы</t>
  </si>
  <si>
    <t>Все задачи распределены между участниками команды</t>
  </si>
  <si>
    <t>У всех задач проставлялся актуальный статус работы</t>
  </si>
  <si>
    <t>Командная работа</t>
  </si>
  <si>
    <t>Регулярно проводились командные встречи</t>
  </si>
  <si>
    <t>У встреч есть фоллоу ап из которого понятно содержание и результаты встречи</t>
  </si>
  <si>
    <t xml:space="preserve">Уважительное и конструктивное общение друг с другом </t>
  </si>
  <si>
    <t>Презентации команды на общих встречах информативные</t>
  </si>
  <si>
    <t>Всего баллов</t>
  </si>
  <si>
    <t>12.04.2024</t>
  </si>
  <si>
    <t xml:space="preserve"> TelranTeam2</t>
  </si>
  <si>
    <t>Stsiapan Samuliou, Sergei Lapidus, Anton Kuklinski, Viktor Balagurchyk</t>
  </si>
  <si>
    <t>https://github.com/s-samuliou/GardenStoreTelran.git</t>
  </si>
  <si>
    <t>https://ssamuliou.atlassian.net</t>
  </si>
  <si>
    <r>
      <rPr>
        <rFont val="Arial"/>
        <b/>
        <color rgb="FF000000"/>
        <sz val="13.0"/>
      </rPr>
      <t>Степень завершенности проекта</t>
    </r>
    <r>
      <rPr>
        <rFont val="Arial"/>
        <b val="0"/>
        <color rgb="FF000000"/>
        <sz val="13.0"/>
      </rPr>
      <t xml:space="preserve"> </t>
    </r>
  </si>
  <si>
    <t>При регистрации и списке пользователя не возвращается ид пользователя, поэтому редактирование пользователя - на удачу, на кого попадет</t>
  </si>
  <si>
    <t>Добавление товара можно только под админом, при этом нет корректной ошибки в ответе , если это делает пользователь с другими ролями.
В ответе не возвращается id  созданного товара</t>
  </si>
  <si>
    <t>Добавление товара можно только под админом, при этом нет корректной ошибки в ответе , если это делает пользователь с другими ролями.</t>
  </si>
  <si>
    <t>Такая же проблема, если нет прав - нет корректного ответа</t>
  </si>
  <si>
    <t>все, ок , но проблема что нужен ид пользователя в запросе</t>
  </si>
  <si>
    <t>Скорее всего оформление заказа должно быть на основании корзины пользователя, здесь возможно именно непонимание по условию, исходной постановке</t>
  </si>
  <si>
    <t>нет отбора по текущему пользователю,можно посмотреть историю любого</t>
  </si>
  <si>
    <t>код прост и понятен, комментариев практически нет</t>
  </si>
  <si>
    <t>Не очень корректно когда из одного сервиса идем в чужой репозиторий перескакивая слой сервиса</t>
  </si>
  <si>
    <t xml:space="preserve">Не все исключения обрабатываются и корректно передаются в ответе </t>
  </si>
  <si>
    <t>замечание что нет работы с текущим пользователем</t>
  </si>
  <si>
    <t>запросы простые, есть поиск по полям на которых нет индекса, но тема индексов не охватывалась в курсе и ее нет в курсе гентеха</t>
  </si>
  <si>
    <t>С пул-реквестами работали Только вначале, потом стали все админами репозитория и обсуждали всё ТГ в беседе, когда кто-то пушил свою ветку</t>
  </si>
  <si>
    <t>пока его нет</t>
  </si>
  <si>
    <t>Описаний практически нет</t>
  </si>
  <si>
    <t>SpringVibes</t>
  </si>
  <si>
    <t>Медведев Дмитрий,Сергей Флейшманн,Мария Андриец, Евгений Сачок</t>
  </si>
  <si>
    <t>https://github.com/DzmitryMiadzvedzeu/Java_Proff_LAST_Project.git</t>
  </si>
  <si>
    <t>https://gardenonlineshop.atlassian.net</t>
  </si>
  <si>
    <r>
      <rPr>
        <rFont val="Arial"/>
        <b/>
        <color rgb="FF000000"/>
        <sz val="13.0"/>
      </rPr>
      <t>Степень завершенности проекта</t>
    </r>
    <r>
      <rPr>
        <rFont val="Arial"/>
        <b val="0"/>
        <color rgb="FF000000"/>
        <sz val="13.0"/>
      </rPr>
      <t xml:space="preserve"> </t>
    </r>
  </si>
  <si>
    <t>есть проблема с передачей полей и корректным возвратом ошибки на проверку валидации полей</t>
  </si>
  <si>
    <t>после удаления учетки, при логине с токеном удаленного пользователя нет обработки ошибки</t>
  </si>
  <si>
    <t>нет корректного ответа в случае ошибки</t>
  </si>
  <si>
    <t>нужен полный перечень полей!!</t>
  </si>
  <si>
    <t>История есть, но нет связей - детализации</t>
  </si>
  <si>
    <t>Список избранных есть, но нет детализации товара, нет связи между сущностями</t>
  </si>
  <si>
    <t>не везде есть перехват исключений, особенно в контроллерах, там где бы оно было нужно (например перехват исключения валидации полей, ограничение по правам)</t>
  </si>
  <si>
    <t>описание в сваггере неполное</t>
  </si>
  <si>
    <t>есть коммиты без сообщений</t>
  </si>
  <si>
    <t>все мерджи обсуждались в ТГ</t>
  </si>
  <si>
    <t>добавлено выборочно</t>
  </si>
  <si>
    <t>Джира толком не велась, велись активные коммуникации в ТГ, в распределении были проблемы, так как не все участники могли быть задействованы</t>
  </si>
  <si>
    <t>Сложно оценить, так как часть команды выпадала из процесса, знаю о сложностях в коммуникации, но бал не снижен</t>
  </si>
  <si>
    <t xml:space="preserve">Команда </t>
  </si>
  <si>
    <t>Макс. баллов</t>
  </si>
  <si>
    <t>Процент</t>
  </si>
  <si>
    <t>300523-be-e, команда TelranTeam2</t>
  </si>
  <si>
    <t>300523-be-e, команда SpringVibes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</si>
</sst>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3.0"/>
      <color theme="1"/>
      <name val="Arial"/>
    </font>
    <font>
      <b/>
      <sz val="10.0"/>
      <color rgb="FF000000"/>
      <name val="Arial"/>
    </font>
    <font>
      <b/>
      <sz val="13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1.0"/>
      <color rgb="FF0000FF"/>
      <name val="Arial"/>
    </font>
    <font>
      <b/>
      <sz val="12.0"/>
      <color theme="1"/>
      <name val="Arial"/>
    </font>
    <font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horizontal="center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3" fontId="8" numFmtId="0" xfId="0" applyAlignment="1" applyFont="1">
      <alignment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right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3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KdLq9Jl2UA?si=bl27TLlZ62eLQGi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-samuliou/GardenStoreTelran.git" TargetMode="External"/><Relationship Id="rId2" Type="http://schemas.openxmlformats.org/officeDocument/2006/relationships/hyperlink" Target="https://ssamuliou.atlassian.net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zmitryMiadzvedzeu/Java_Proff_LAST_Project.git" TargetMode="External"/><Relationship Id="rId2" Type="http://schemas.openxmlformats.org/officeDocument/2006/relationships/hyperlink" Target="https://gardenonlineshop.atlassian.net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57.5"/>
    <col customWidth="1" min="3" max="3" width="14.5"/>
    <col customWidth="1" min="4" max="4" width="14.88"/>
    <col customWidth="1" min="5" max="5" width="39.5"/>
    <col customWidth="1" min="6" max="6" width="37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 t="s">
        <v>1</v>
      </c>
      <c r="C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2</v>
      </c>
      <c r="C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4" t="s">
        <v>3</v>
      </c>
      <c r="C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4" t="s">
        <v>4</v>
      </c>
      <c r="C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4" t="s">
        <v>5</v>
      </c>
      <c r="C6" s="6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/>
      <c r="B7" s="4" t="s">
        <v>6</v>
      </c>
      <c r="C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7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7"/>
      <c r="B9" s="8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>
        <v>1.0</v>
      </c>
      <c r="B10" s="11" t="s">
        <v>13</v>
      </c>
      <c r="C10" s="12"/>
      <c r="D10" s="12"/>
      <c r="E10" s="13"/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0">
        <v>2.0</v>
      </c>
      <c r="B11" s="11" t="s">
        <v>14</v>
      </c>
      <c r="C11" s="12"/>
      <c r="D11" s="12"/>
      <c r="E11" s="13"/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>
        <v>3.0</v>
      </c>
      <c r="B12" s="11" t="s">
        <v>15</v>
      </c>
      <c r="C12" s="12"/>
      <c r="D12" s="12"/>
      <c r="E12" s="13"/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">
        <v>4.0</v>
      </c>
      <c r="B13" s="11" t="s">
        <v>16</v>
      </c>
      <c r="C13" s="12"/>
      <c r="D13" s="12"/>
      <c r="E13" s="13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0">
        <v>5.0</v>
      </c>
      <c r="B14" s="11" t="s">
        <v>17</v>
      </c>
      <c r="C14" s="12"/>
      <c r="D14" s="12"/>
      <c r="E14" s="13"/>
      <c r="F14" s="1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">
        <v>6.0</v>
      </c>
      <c r="B15" s="11" t="s">
        <v>18</v>
      </c>
      <c r="C15" s="12"/>
      <c r="D15" s="12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">
        <v>7.0</v>
      </c>
      <c r="B16" s="11" t="s">
        <v>19</v>
      </c>
      <c r="C16" s="12"/>
      <c r="D16" s="12"/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">
        <v>8.0</v>
      </c>
      <c r="B17" s="11" t="s">
        <v>20</v>
      </c>
      <c r="C17" s="12"/>
      <c r="D17" s="12"/>
      <c r="E17" s="13"/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">
        <v>9.0</v>
      </c>
      <c r="B18" s="11" t="s">
        <v>21</v>
      </c>
      <c r="C18" s="12"/>
      <c r="D18" s="12"/>
      <c r="E18" s="13"/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0">
        <v>10.0</v>
      </c>
      <c r="B19" s="11" t="s">
        <v>22</v>
      </c>
      <c r="C19" s="12"/>
      <c r="D19" s="12"/>
      <c r="E19" s="13"/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">
        <v>11.0</v>
      </c>
      <c r="B20" s="11" t="s">
        <v>23</v>
      </c>
      <c r="C20" s="12"/>
      <c r="D20" s="12"/>
      <c r="E20" s="13"/>
      <c r="F20" s="1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12.0</v>
      </c>
      <c r="B21" s="11" t="s">
        <v>24</v>
      </c>
      <c r="C21" s="12"/>
      <c r="D21" s="12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13.0</v>
      </c>
      <c r="B22" s="11" t="s">
        <v>25</v>
      </c>
      <c r="C22" s="12"/>
      <c r="D22" s="12"/>
      <c r="E22" s="13"/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14.0</v>
      </c>
      <c r="B23" s="11" t="s">
        <v>26</v>
      </c>
      <c r="C23" s="12"/>
      <c r="D23" s="12"/>
      <c r="E23" s="13"/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15.0</v>
      </c>
      <c r="B24" s="11" t="s">
        <v>27</v>
      </c>
      <c r="C24" s="12"/>
      <c r="D24" s="12"/>
      <c r="E24" s="13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16.0</v>
      </c>
      <c r="B25" s="11" t="s">
        <v>28</v>
      </c>
      <c r="C25" s="12"/>
      <c r="D25" s="12"/>
      <c r="E25" s="13"/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17.0</v>
      </c>
      <c r="B26" s="11" t="s">
        <v>29</v>
      </c>
      <c r="C26" s="12"/>
      <c r="D26" s="12"/>
      <c r="E26" s="13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18.0</v>
      </c>
      <c r="B27" s="11" t="s">
        <v>30</v>
      </c>
      <c r="C27" s="12"/>
      <c r="D27" s="12"/>
      <c r="E27" s="13"/>
      <c r="F27" s="1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7"/>
      <c r="B28" s="14" t="s">
        <v>31</v>
      </c>
      <c r="C28" s="15" t="s">
        <v>32</v>
      </c>
      <c r="D28" s="15" t="s">
        <v>32</v>
      </c>
      <c r="E28" s="15" t="s">
        <v>33</v>
      </c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7">
        <v>19.0</v>
      </c>
      <c r="B29" s="11" t="s">
        <v>34</v>
      </c>
      <c r="C29" s="12"/>
      <c r="D29" s="12"/>
      <c r="E29" s="12"/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>
        <v>20.0</v>
      </c>
      <c r="B30" s="11" t="s">
        <v>35</v>
      </c>
      <c r="C30" s="12"/>
      <c r="D30" s="12"/>
      <c r="E30" s="12"/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>
        <v>21.0</v>
      </c>
      <c r="B31" s="11" t="s">
        <v>36</v>
      </c>
      <c r="C31" s="12"/>
      <c r="D31" s="12"/>
      <c r="E31" s="12"/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>
        <v>22.0</v>
      </c>
      <c r="B32" s="11" t="s">
        <v>37</v>
      </c>
      <c r="C32" s="12"/>
      <c r="D32" s="12"/>
      <c r="E32" s="12"/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7">
        <v>23.0</v>
      </c>
      <c r="B33" s="11" t="s">
        <v>38</v>
      </c>
      <c r="C33" s="12"/>
      <c r="D33" s="12"/>
      <c r="E33" s="12"/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7">
        <v>24.0</v>
      </c>
      <c r="B34" s="11" t="s">
        <v>39</v>
      </c>
      <c r="C34" s="12"/>
      <c r="D34" s="12"/>
      <c r="E34" s="12"/>
      <c r="F34" s="1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8"/>
      <c r="B35" s="8" t="s">
        <v>40</v>
      </c>
      <c r="C35" s="15" t="s">
        <v>32</v>
      </c>
      <c r="D35" s="15" t="s">
        <v>32</v>
      </c>
      <c r="E35" s="15" t="s">
        <v>33</v>
      </c>
      <c r="F35" s="19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7">
        <v>25.0</v>
      </c>
      <c r="B36" s="11" t="s">
        <v>41</v>
      </c>
      <c r="C36" s="12"/>
      <c r="D36" s="12"/>
      <c r="E36" s="12"/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7">
        <v>26.0</v>
      </c>
      <c r="B37" s="11" t="s">
        <v>42</v>
      </c>
      <c r="C37" s="12"/>
      <c r="D37" s="12"/>
      <c r="E37" s="12"/>
      <c r="F37" s="1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7"/>
      <c r="B38" s="8" t="s">
        <v>43</v>
      </c>
      <c r="C38" s="15" t="s">
        <v>32</v>
      </c>
      <c r="D38" s="15" t="s">
        <v>32</v>
      </c>
      <c r="E38" s="15" t="s">
        <v>33</v>
      </c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7">
        <v>27.0</v>
      </c>
      <c r="B39" s="11" t="s">
        <v>44</v>
      </c>
      <c r="C39" s="12"/>
      <c r="D39" s="12"/>
      <c r="E39" s="12"/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7">
        <v>28.0</v>
      </c>
      <c r="B40" s="11" t="s">
        <v>45</v>
      </c>
      <c r="C40" s="12"/>
      <c r="D40" s="12"/>
      <c r="E40" s="12"/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7"/>
      <c r="B41" s="14" t="s">
        <v>46</v>
      </c>
      <c r="C41" s="15" t="s">
        <v>32</v>
      </c>
      <c r="D41" s="15" t="s">
        <v>32</v>
      </c>
      <c r="E41" s="15" t="s">
        <v>33</v>
      </c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7">
        <v>29.0</v>
      </c>
      <c r="B42" s="21" t="s">
        <v>47</v>
      </c>
      <c r="C42" s="12"/>
      <c r="D42" s="12"/>
      <c r="E42" s="12"/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7">
        <v>30.0</v>
      </c>
      <c r="B43" s="21" t="s">
        <v>48</v>
      </c>
      <c r="C43" s="12"/>
      <c r="D43" s="12"/>
      <c r="E43" s="12"/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7">
        <v>31.0</v>
      </c>
      <c r="B44" s="21" t="s">
        <v>49</v>
      </c>
      <c r="C44" s="12"/>
      <c r="D44" s="12"/>
      <c r="E44" s="12"/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7">
        <v>32.0</v>
      </c>
      <c r="B45" s="22" t="s">
        <v>50</v>
      </c>
      <c r="C45" s="12"/>
      <c r="D45" s="12"/>
      <c r="E45" s="12"/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>
        <v>33.0</v>
      </c>
      <c r="B46" s="21" t="s">
        <v>51</v>
      </c>
      <c r="C46" s="12"/>
      <c r="D46" s="12"/>
      <c r="E46" s="12"/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7">
        <v>34.0</v>
      </c>
      <c r="B47" s="21" t="s">
        <v>52</v>
      </c>
      <c r="C47" s="12"/>
      <c r="D47" s="12"/>
      <c r="E47" s="12"/>
      <c r="F47" s="1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7"/>
      <c r="B48" s="14" t="s">
        <v>53</v>
      </c>
      <c r="C48" s="15" t="s">
        <v>32</v>
      </c>
      <c r="D48" s="15" t="s">
        <v>32</v>
      </c>
      <c r="E48" s="15" t="s">
        <v>33</v>
      </c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7">
        <v>35.0</v>
      </c>
      <c r="B49" s="21" t="s">
        <v>54</v>
      </c>
      <c r="C49" s="12"/>
      <c r="D49" s="12"/>
      <c r="E49" s="12"/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7">
        <v>36.0</v>
      </c>
      <c r="B50" s="21" t="s">
        <v>55</v>
      </c>
      <c r="C50" s="12"/>
      <c r="D50" s="12"/>
      <c r="E50" s="12"/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7">
        <v>37.0</v>
      </c>
      <c r="B51" s="21" t="s">
        <v>56</v>
      </c>
      <c r="C51" s="12"/>
      <c r="D51" s="12"/>
      <c r="E51" s="12"/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7">
        <v>38.0</v>
      </c>
      <c r="B52" s="21" t="s">
        <v>57</v>
      </c>
      <c r="C52" s="12"/>
      <c r="D52" s="12"/>
      <c r="E52" s="12"/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7">
        <v>39.0</v>
      </c>
      <c r="B53" s="22" t="s">
        <v>58</v>
      </c>
      <c r="C53" s="12"/>
      <c r="D53" s="12"/>
      <c r="E53" s="12"/>
      <c r="F53" s="1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7"/>
      <c r="B54" s="14" t="s">
        <v>59</v>
      </c>
      <c r="C54" s="15" t="s">
        <v>32</v>
      </c>
      <c r="D54" s="15" t="s">
        <v>32</v>
      </c>
      <c r="E54" s="15" t="s">
        <v>33</v>
      </c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7">
        <v>40.0</v>
      </c>
      <c r="B55" s="22" t="s">
        <v>60</v>
      </c>
      <c r="C55" s="12"/>
      <c r="D55" s="12"/>
      <c r="E55" s="12"/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">
        <v>41.0</v>
      </c>
      <c r="B56" s="21" t="s">
        <v>61</v>
      </c>
      <c r="C56" s="12"/>
      <c r="D56" s="12"/>
      <c r="E56" s="12"/>
      <c r="F56" s="1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7">
        <v>42.0</v>
      </c>
      <c r="B57" s="22" t="s">
        <v>62</v>
      </c>
      <c r="C57" s="12"/>
      <c r="D57" s="12"/>
      <c r="E57" s="12"/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7">
        <v>43.0</v>
      </c>
      <c r="B58" s="21" t="s">
        <v>63</v>
      </c>
      <c r="C58" s="12"/>
      <c r="D58" s="12"/>
      <c r="E58" s="12"/>
      <c r="F58" s="1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/>
      <c r="B59" s="24" t="s">
        <v>64</v>
      </c>
      <c r="C59" s="13">
        <f t="shared" ref="C59:D59" si="1">SUM(C10,C11,C12,C13,C14,C15,C16,C17,C18,C19,C20,C21,C22,C23,C24,C25,C26,C27,C29,C30,C31,C32,C33,C34,C36,C37,C39,C40,C42,C43,C44,C45,C46,C47,C49,C50,C51,C52,C53,C55,C56,C57,C58)</f>
        <v>0</v>
      </c>
      <c r="D59" s="13">
        <f t="shared" si="1"/>
        <v>0</v>
      </c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/>
      <c r="B60" s="13"/>
      <c r="C60" s="13"/>
      <c r="D60" s="13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/>
      <c r="B61" s="13"/>
      <c r="C61" s="13"/>
      <c r="D61" s="13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3"/>
      <c r="B62" s="13"/>
      <c r="C62" s="13"/>
      <c r="D62" s="13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/>
      <c r="B63" s="13"/>
      <c r="C63" s="13"/>
      <c r="D63" s="13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/>
      <c r="B64" s="13"/>
      <c r="C64" s="13"/>
      <c r="D64" s="13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/>
      <c r="B65" s="13"/>
      <c r="C65" s="13"/>
      <c r="D65" s="13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3"/>
      <c r="B66" s="13"/>
      <c r="C66" s="13"/>
      <c r="D66" s="13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3"/>
      <c r="B67" s="13"/>
      <c r="C67" s="13"/>
      <c r="D67" s="13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/>
      <c r="B68" s="13"/>
      <c r="C68" s="13"/>
      <c r="D68" s="13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/>
      <c r="B69" s="13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/>
      <c r="B70" s="13"/>
      <c r="C70" s="13"/>
      <c r="D70" s="13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/>
      <c r="B71" s="13"/>
      <c r="C71" s="13"/>
      <c r="D71" s="13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/>
      <c r="B72" s="13"/>
      <c r="C72" s="13"/>
      <c r="D72" s="13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/>
      <c r="B73" s="13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/>
      <c r="B74" s="13"/>
      <c r="C74" s="13"/>
      <c r="D74" s="13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/>
      <c r="B75" s="13"/>
      <c r="C75" s="13"/>
      <c r="D75" s="13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/>
      <c r="B76" s="13"/>
      <c r="C76" s="13"/>
      <c r="D76" s="13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/>
      <c r="B77" s="13"/>
      <c r="C77" s="13"/>
      <c r="D77" s="13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/>
      <c r="B78" s="13"/>
      <c r="C78" s="13"/>
      <c r="D78" s="13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/>
      <c r="B79" s="13"/>
      <c r="C79" s="13"/>
      <c r="D79" s="13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/>
      <c r="B80" s="13"/>
      <c r="C80" s="13"/>
      <c r="D80" s="13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/>
      <c r="B81" s="13"/>
      <c r="C81" s="13"/>
      <c r="D81" s="13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/>
      <c r="B82" s="13"/>
      <c r="C82" s="13"/>
      <c r="D82" s="13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/>
      <c r="B83" s="13"/>
      <c r="C83" s="13"/>
      <c r="D83" s="13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/>
      <c r="B84" s="13"/>
      <c r="C84" s="13"/>
      <c r="D84" s="13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/>
      <c r="B85" s="13"/>
      <c r="C85" s="13"/>
      <c r="D85" s="13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/>
      <c r="B86" s="13"/>
      <c r="C86" s="13"/>
      <c r="D86" s="13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/>
      <c r="B87" s="13"/>
      <c r="C87" s="13"/>
      <c r="D87" s="13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/>
      <c r="B88" s="13"/>
      <c r="C88" s="13"/>
      <c r="D88" s="13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/>
      <c r="B89" s="13"/>
      <c r="C89" s="13"/>
      <c r="D89" s="13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/>
      <c r="B90" s="13"/>
      <c r="C90" s="13"/>
      <c r="D90" s="13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/>
      <c r="B91" s="13"/>
      <c r="C91" s="13"/>
      <c r="D91" s="13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/>
      <c r="B92" s="13"/>
      <c r="C92" s="13"/>
      <c r="D92" s="13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/>
      <c r="B93" s="13"/>
      <c r="C93" s="13"/>
      <c r="D93" s="13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/>
      <c r="B94" s="13"/>
      <c r="C94" s="13"/>
      <c r="D94" s="13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/>
      <c r="B95" s="13"/>
      <c r="C95" s="13"/>
      <c r="D95" s="13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/>
      <c r="B96" s="13"/>
      <c r="C96" s="13"/>
      <c r="D96" s="13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/>
      <c r="B97" s="13"/>
      <c r="C97" s="13"/>
      <c r="D97" s="13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/>
      <c r="B98" s="13"/>
      <c r="C98" s="13"/>
      <c r="D98" s="13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/>
      <c r="B99" s="13"/>
      <c r="C99" s="13"/>
      <c r="D99" s="13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/>
      <c r="B100" s="13"/>
      <c r="C100" s="13"/>
      <c r="D100" s="13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/>
      <c r="B101" s="13"/>
      <c r="C101" s="13"/>
      <c r="D101" s="13"/>
      <c r="E101" s="13"/>
      <c r="F101" s="1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/>
      <c r="B102" s="13"/>
      <c r="C102" s="13"/>
      <c r="D102" s="13"/>
      <c r="E102" s="13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/>
      <c r="B103" s="13"/>
      <c r="C103" s="13"/>
      <c r="D103" s="13"/>
      <c r="E103" s="13"/>
      <c r="F103" s="1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/>
      <c r="B104" s="13"/>
      <c r="C104" s="13"/>
      <c r="D104" s="13"/>
      <c r="E104" s="13"/>
      <c r="F104" s="1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/>
      <c r="B105" s="13"/>
      <c r="C105" s="13"/>
      <c r="D105" s="13"/>
      <c r="E105" s="13"/>
      <c r="F105" s="1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/>
      <c r="B106" s="13"/>
      <c r="C106" s="13"/>
      <c r="D106" s="13"/>
      <c r="E106" s="13"/>
      <c r="F106" s="1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3"/>
      <c r="B107" s="13"/>
      <c r="C107" s="13"/>
      <c r="D107" s="13"/>
      <c r="E107" s="13"/>
      <c r="F107" s="1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3"/>
      <c r="B108" s="13"/>
      <c r="C108" s="13"/>
      <c r="D108" s="13"/>
      <c r="E108" s="13"/>
      <c r="F108" s="1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3"/>
      <c r="B109" s="13"/>
      <c r="C109" s="13"/>
      <c r="D109" s="13"/>
      <c r="E109" s="13"/>
      <c r="F109" s="1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3"/>
      <c r="B110" s="13"/>
      <c r="C110" s="13"/>
      <c r="D110" s="13"/>
      <c r="E110" s="13"/>
      <c r="F110" s="1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3"/>
      <c r="B111" s="13"/>
      <c r="C111" s="13"/>
      <c r="D111" s="13"/>
      <c r="E111" s="13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3"/>
      <c r="B112" s="13"/>
      <c r="C112" s="13"/>
      <c r="D112" s="13"/>
      <c r="E112" s="13"/>
      <c r="F112" s="1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3"/>
      <c r="B113" s="13"/>
      <c r="C113" s="13"/>
      <c r="D113" s="13"/>
      <c r="E113" s="13"/>
      <c r="F113" s="1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3"/>
      <c r="B114" s="13"/>
      <c r="C114" s="13"/>
      <c r="D114" s="13"/>
      <c r="E114" s="13"/>
      <c r="F114" s="1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3"/>
      <c r="B115" s="13"/>
      <c r="C115" s="13"/>
      <c r="D115" s="13"/>
      <c r="E115" s="13"/>
      <c r="F115" s="1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3"/>
      <c r="B116" s="13"/>
      <c r="C116" s="13"/>
      <c r="D116" s="13"/>
      <c r="E116" s="13"/>
      <c r="F116" s="1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3"/>
      <c r="B117" s="13"/>
      <c r="C117" s="13"/>
      <c r="D117" s="13"/>
      <c r="E117" s="13"/>
      <c r="F117" s="1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3"/>
      <c r="B118" s="13"/>
      <c r="C118" s="13"/>
      <c r="D118" s="13"/>
      <c r="E118" s="13"/>
      <c r="F118" s="1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3"/>
      <c r="B119" s="13"/>
      <c r="C119" s="13"/>
      <c r="D119" s="13"/>
      <c r="E119" s="13"/>
      <c r="F119" s="1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3"/>
      <c r="B120" s="13"/>
      <c r="C120" s="13"/>
      <c r="D120" s="13"/>
      <c r="E120" s="13"/>
      <c r="F120" s="1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3"/>
      <c r="B121" s="13"/>
      <c r="C121" s="13"/>
      <c r="D121" s="13"/>
      <c r="E121" s="13"/>
      <c r="F121" s="1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3"/>
      <c r="B122" s="13"/>
      <c r="C122" s="13"/>
      <c r="D122" s="13"/>
      <c r="E122" s="13"/>
      <c r="F122" s="1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3"/>
      <c r="B123" s="13"/>
      <c r="C123" s="13"/>
      <c r="D123" s="13"/>
      <c r="E123" s="13"/>
      <c r="F123" s="1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3"/>
      <c r="B124" s="13"/>
      <c r="C124" s="13"/>
      <c r="D124" s="13"/>
      <c r="E124" s="13"/>
      <c r="F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3"/>
      <c r="B125" s="13"/>
      <c r="C125" s="13"/>
      <c r="D125" s="13"/>
      <c r="E125" s="13"/>
      <c r="F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3"/>
      <c r="B126" s="13"/>
      <c r="C126" s="13"/>
      <c r="D126" s="13"/>
      <c r="E126" s="13"/>
      <c r="F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3"/>
      <c r="B127" s="13"/>
      <c r="C127" s="13"/>
      <c r="D127" s="13"/>
      <c r="E127" s="13"/>
      <c r="F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3"/>
      <c r="B128" s="13"/>
      <c r="C128" s="13"/>
      <c r="D128" s="13"/>
      <c r="E128" s="13"/>
      <c r="F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3"/>
      <c r="B129" s="13"/>
      <c r="C129" s="13"/>
      <c r="D129" s="13"/>
      <c r="E129" s="13"/>
      <c r="F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3"/>
      <c r="B130" s="13"/>
      <c r="C130" s="13"/>
      <c r="D130" s="13"/>
      <c r="E130" s="13"/>
      <c r="F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3"/>
      <c r="B131" s="13"/>
      <c r="C131" s="13"/>
      <c r="D131" s="13"/>
      <c r="E131" s="13"/>
      <c r="F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3"/>
      <c r="B132" s="13"/>
      <c r="C132" s="13"/>
      <c r="D132" s="13"/>
      <c r="E132" s="13"/>
      <c r="F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3"/>
      <c r="B133" s="13"/>
      <c r="C133" s="13"/>
      <c r="D133" s="13"/>
      <c r="E133" s="13"/>
      <c r="F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3"/>
      <c r="B134" s="13"/>
      <c r="C134" s="13"/>
      <c r="D134" s="13"/>
      <c r="E134" s="13"/>
      <c r="F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3"/>
      <c r="B135" s="13"/>
      <c r="C135" s="13"/>
      <c r="D135" s="13"/>
      <c r="E135" s="13"/>
      <c r="F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3"/>
      <c r="B136" s="13"/>
      <c r="C136" s="13"/>
      <c r="D136" s="13"/>
      <c r="E136" s="13"/>
      <c r="F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3"/>
      <c r="B137" s="13"/>
      <c r="C137" s="13"/>
      <c r="D137" s="13"/>
      <c r="E137" s="13"/>
      <c r="F137" s="1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3"/>
      <c r="B138" s="13"/>
      <c r="C138" s="13"/>
      <c r="D138" s="13"/>
      <c r="E138" s="13"/>
      <c r="F138" s="1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3"/>
      <c r="B139" s="13"/>
      <c r="C139" s="13"/>
      <c r="D139" s="13"/>
      <c r="E139" s="13"/>
      <c r="F139" s="1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3"/>
      <c r="B140" s="13"/>
      <c r="C140" s="13"/>
      <c r="D140" s="13"/>
      <c r="E140" s="13"/>
      <c r="F140" s="1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3"/>
      <c r="B141" s="13"/>
      <c r="C141" s="13"/>
      <c r="D141" s="13"/>
      <c r="E141" s="13"/>
      <c r="F141" s="1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3"/>
      <c r="B142" s="13"/>
      <c r="C142" s="13"/>
      <c r="D142" s="13"/>
      <c r="E142" s="13"/>
      <c r="F142" s="1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3"/>
      <c r="B143" s="13"/>
      <c r="C143" s="13"/>
      <c r="D143" s="13"/>
      <c r="E143" s="13"/>
      <c r="F143" s="1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3"/>
      <c r="B144" s="13"/>
      <c r="C144" s="13"/>
      <c r="D144" s="13"/>
      <c r="E144" s="13"/>
      <c r="F144" s="1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3"/>
      <c r="B145" s="13"/>
      <c r="C145" s="13"/>
      <c r="D145" s="13"/>
      <c r="E145" s="13"/>
      <c r="F145" s="1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3"/>
      <c r="B146" s="13"/>
      <c r="C146" s="13"/>
      <c r="D146" s="13"/>
      <c r="E146" s="13"/>
      <c r="F146" s="1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3"/>
      <c r="B147" s="13"/>
      <c r="C147" s="13"/>
      <c r="D147" s="13"/>
      <c r="E147" s="13"/>
      <c r="F147" s="1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3"/>
      <c r="B148" s="13"/>
      <c r="C148" s="13"/>
      <c r="D148" s="13"/>
      <c r="E148" s="13"/>
      <c r="F148" s="1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3"/>
      <c r="B149" s="13"/>
      <c r="C149" s="13"/>
      <c r="D149" s="13"/>
      <c r="E149" s="13"/>
      <c r="F149" s="1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3"/>
      <c r="B150" s="13"/>
      <c r="C150" s="13"/>
      <c r="D150" s="13"/>
      <c r="E150" s="13"/>
      <c r="F150" s="1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3"/>
      <c r="B151" s="13"/>
      <c r="C151" s="13"/>
      <c r="D151" s="13"/>
      <c r="E151" s="13"/>
      <c r="F151" s="1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3"/>
      <c r="B152" s="13"/>
      <c r="C152" s="13"/>
      <c r="D152" s="13"/>
      <c r="E152" s="13"/>
      <c r="F152" s="1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3"/>
      <c r="B153" s="13"/>
      <c r="C153" s="13"/>
      <c r="D153" s="13"/>
      <c r="E153" s="13"/>
      <c r="F153" s="1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3"/>
      <c r="B154" s="13"/>
      <c r="C154" s="13"/>
      <c r="D154" s="13"/>
      <c r="E154" s="13"/>
      <c r="F154" s="1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3"/>
      <c r="B155" s="13"/>
      <c r="C155" s="13"/>
      <c r="D155" s="13"/>
      <c r="E155" s="13"/>
      <c r="F155" s="1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3"/>
      <c r="B156" s="13"/>
      <c r="C156" s="13"/>
      <c r="D156" s="13"/>
      <c r="E156" s="13"/>
      <c r="F156" s="1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3"/>
      <c r="B157" s="13"/>
      <c r="C157" s="13"/>
      <c r="D157" s="13"/>
      <c r="E157" s="13"/>
      <c r="F157" s="1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3"/>
      <c r="B158" s="13"/>
      <c r="C158" s="13"/>
      <c r="D158" s="13"/>
      <c r="E158" s="13"/>
      <c r="F158" s="1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3"/>
      <c r="B159" s="13"/>
      <c r="C159" s="13"/>
      <c r="D159" s="13"/>
      <c r="E159" s="13"/>
      <c r="F159" s="1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3"/>
      <c r="B160" s="13"/>
      <c r="C160" s="13"/>
      <c r="D160" s="13"/>
      <c r="E160" s="13"/>
      <c r="F160" s="1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3"/>
      <c r="B161" s="13"/>
      <c r="C161" s="13"/>
      <c r="D161" s="13"/>
      <c r="E161" s="13"/>
      <c r="F161" s="1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3"/>
      <c r="B162" s="13"/>
      <c r="C162" s="13"/>
      <c r="D162" s="13"/>
      <c r="E162" s="13"/>
      <c r="F162" s="1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3"/>
      <c r="B163" s="13"/>
      <c r="C163" s="13"/>
      <c r="D163" s="13"/>
      <c r="E163" s="13"/>
      <c r="F163" s="1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3"/>
      <c r="B164" s="13"/>
      <c r="C164" s="13"/>
      <c r="D164" s="13"/>
      <c r="E164" s="13"/>
      <c r="F164" s="1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3"/>
      <c r="B165" s="13"/>
      <c r="C165" s="13"/>
      <c r="D165" s="13"/>
      <c r="E165" s="13"/>
      <c r="F165" s="1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3"/>
      <c r="B166" s="13"/>
      <c r="C166" s="13"/>
      <c r="D166" s="13"/>
      <c r="E166" s="13"/>
      <c r="F166" s="1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3"/>
      <c r="B167" s="13"/>
      <c r="C167" s="13"/>
      <c r="D167" s="13"/>
      <c r="E167" s="13"/>
      <c r="F167" s="1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3"/>
      <c r="B168" s="13"/>
      <c r="C168" s="13"/>
      <c r="D168" s="13"/>
      <c r="E168" s="13"/>
      <c r="F168" s="1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3"/>
      <c r="B169" s="13"/>
      <c r="C169" s="13"/>
      <c r="D169" s="13"/>
      <c r="E169" s="13"/>
      <c r="F169" s="1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3"/>
      <c r="B170" s="13"/>
      <c r="C170" s="13"/>
      <c r="D170" s="13"/>
      <c r="E170" s="13"/>
      <c r="F170" s="1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3"/>
      <c r="B171" s="13"/>
      <c r="C171" s="13"/>
      <c r="D171" s="13"/>
      <c r="E171" s="13"/>
      <c r="F171" s="1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3"/>
      <c r="B172" s="13"/>
      <c r="C172" s="13"/>
      <c r="D172" s="13"/>
      <c r="E172" s="13"/>
      <c r="F172" s="1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3"/>
      <c r="B173" s="13"/>
      <c r="C173" s="13"/>
      <c r="D173" s="13"/>
      <c r="E173" s="13"/>
      <c r="F173" s="1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3"/>
      <c r="B174" s="13"/>
      <c r="C174" s="13"/>
      <c r="D174" s="13"/>
      <c r="E174" s="13"/>
      <c r="F174" s="1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3"/>
      <c r="B175" s="13"/>
      <c r="C175" s="13"/>
      <c r="D175" s="13"/>
      <c r="E175" s="13"/>
      <c r="F175" s="1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3"/>
      <c r="B176" s="13"/>
      <c r="C176" s="13"/>
      <c r="D176" s="13"/>
      <c r="E176" s="13"/>
      <c r="F176" s="1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3"/>
      <c r="B177" s="13"/>
      <c r="C177" s="13"/>
      <c r="D177" s="13"/>
      <c r="E177" s="13"/>
      <c r="F177" s="1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3"/>
      <c r="B178" s="13"/>
      <c r="C178" s="13"/>
      <c r="D178" s="13"/>
      <c r="E178" s="13"/>
      <c r="F178" s="1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3"/>
      <c r="B179" s="13"/>
      <c r="C179" s="13"/>
      <c r="D179" s="13"/>
      <c r="E179" s="13"/>
      <c r="F179" s="1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3"/>
      <c r="B180" s="13"/>
      <c r="C180" s="13"/>
      <c r="D180" s="13"/>
      <c r="E180" s="13"/>
      <c r="F180" s="1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3"/>
      <c r="B181" s="13"/>
      <c r="C181" s="13"/>
      <c r="D181" s="13"/>
      <c r="E181" s="13"/>
      <c r="F181" s="1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3"/>
      <c r="B182" s="13"/>
      <c r="C182" s="13"/>
      <c r="D182" s="13"/>
      <c r="E182" s="13"/>
      <c r="F182" s="1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3"/>
      <c r="B183" s="13"/>
      <c r="C183" s="13"/>
      <c r="D183" s="13"/>
      <c r="E183" s="13"/>
      <c r="F183" s="1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3"/>
      <c r="B184" s="13"/>
      <c r="C184" s="13"/>
      <c r="D184" s="13"/>
      <c r="E184" s="13"/>
      <c r="F184" s="1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3"/>
      <c r="B185" s="13"/>
      <c r="C185" s="13"/>
      <c r="D185" s="13"/>
      <c r="E185" s="13"/>
      <c r="F185" s="1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3"/>
      <c r="B186" s="13"/>
      <c r="C186" s="13"/>
      <c r="D186" s="13"/>
      <c r="E186" s="13"/>
      <c r="F186" s="1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3"/>
      <c r="B187" s="13"/>
      <c r="C187" s="13"/>
      <c r="D187" s="13"/>
      <c r="E187" s="13"/>
      <c r="F187" s="1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3"/>
      <c r="B188" s="13"/>
      <c r="C188" s="13"/>
      <c r="D188" s="13"/>
      <c r="E188" s="13"/>
      <c r="F188" s="1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3"/>
      <c r="B189" s="13"/>
      <c r="C189" s="13"/>
      <c r="D189" s="13"/>
      <c r="E189" s="13"/>
      <c r="F189" s="1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3"/>
      <c r="B190" s="13"/>
      <c r="C190" s="13"/>
      <c r="D190" s="13"/>
      <c r="E190" s="13"/>
      <c r="F190" s="1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3"/>
      <c r="B191" s="13"/>
      <c r="C191" s="13"/>
      <c r="D191" s="13"/>
      <c r="E191" s="13"/>
      <c r="F191" s="1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3"/>
      <c r="B192" s="13"/>
      <c r="C192" s="13"/>
      <c r="D192" s="13"/>
      <c r="E192" s="13"/>
      <c r="F192" s="1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3"/>
      <c r="B193" s="13"/>
      <c r="C193" s="13"/>
      <c r="D193" s="13"/>
      <c r="E193" s="13"/>
      <c r="F193" s="1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3"/>
      <c r="B194" s="13"/>
      <c r="C194" s="13"/>
      <c r="D194" s="13"/>
      <c r="E194" s="13"/>
      <c r="F194" s="1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3"/>
      <c r="B195" s="13"/>
      <c r="C195" s="13"/>
      <c r="D195" s="13"/>
      <c r="E195" s="13"/>
      <c r="F195" s="1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3"/>
      <c r="B196" s="13"/>
      <c r="C196" s="13"/>
      <c r="D196" s="13"/>
      <c r="E196" s="13"/>
      <c r="F196" s="1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3"/>
      <c r="B197" s="13"/>
      <c r="C197" s="13"/>
      <c r="D197" s="13"/>
      <c r="E197" s="13"/>
      <c r="F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3"/>
      <c r="B198" s="13"/>
      <c r="C198" s="13"/>
      <c r="D198" s="13"/>
      <c r="E198" s="13"/>
      <c r="F198" s="1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3"/>
      <c r="B199" s="13"/>
      <c r="C199" s="13"/>
      <c r="D199" s="13"/>
      <c r="E199" s="13"/>
      <c r="F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3"/>
      <c r="B200" s="13"/>
      <c r="C200" s="13"/>
      <c r="D200" s="13"/>
      <c r="E200" s="13"/>
      <c r="F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3"/>
      <c r="B201" s="13"/>
      <c r="C201" s="13"/>
      <c r="D201" s="13"/>
      <c r="E201" s="13"/>
      <c r="F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3"/>
      <c r="B202" s="13"/>
      <c r="C202" s="13"/>
      <c r="D202" s="13"/>
      <c r="E202" s="13"/>
      <c r="F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3"/>
      <c r="B203" s="13"/>
      <c r="C203" s="13"/>
      <c r="D203" s="13"/>
      <c r="E203" s="13"/>
      <c r="F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3"/>
      <c r="B204" s="13"/>
      <c r="C204" s="13"/>
      <c r="D204" s="13"/>
      <c r="E204" s="13"/>
      <c r="F204" s="1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3"/>
      <c r="B205" s="13"/>
      <c r="C205" s="13"/>
      <c r="D205" s="13"/>
      <c r="E205" s="13"/>
      <c r="F205" s="1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3"/>
      <c r="B206" s="13"/>
      <c r="C206" s="13"/>
      <c r="D206" s="13"/>
      <c r="E206" s="13"/>
      <c r="F206" s="1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3"/>
      <c r="B207" s="13"/>
      <c r="C207" s="13"/>
      <c r="D207" s="13"/>
      <c r="E207" s="13"/>
      <c r="F207" s="1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3"/>
      <c r="B208" s="13"/>
      <c r="C208" s="13"/>
      <c r="D208" s="13"/>
      <c r="E208" s="13"/>
      <c r="F208" s="1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3"/>
      <c r="B209" s="13"/>
      <c r="C209" s="13"/>
      <c r="D209" s="13"/>
      <c r="E209" s="13"/>
      <c r="F209" s="1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3"/>
      <c r="B210" s="13"/>
      <c r="C210" s="13"/>
      <c r="D210" s="13"/>
      <c r="E210" s="13"/>
      <c r="F210" s="1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3"/>
      <c r="B211" s="13"/>
      <c r="C211" s="13"/>
      <c r="D211" s="13"/>
      <c r="E211" s="13"/>
      <c r="F211" s="1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3"/>
      <c r="B212" s="13"/>
      <c r="C212" s="13"/>
      <c r="D212" s="13"/>
      <c r="E212" s="13"/>
      <c r="F212" s="1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3"/>
      <c r="B213" s="13"/>
      <c r="C213" s="13"/>
      <c r="D213" s="13"/>
      <c r="E213" s="13"/>
      <c r="F213" s="1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3"/>
      <c r="B214" s="13"/>
      <c r="C214" s="13"/>
      <c r="D214" s="13"/>
      <c r="E214" s="13"/>
      <c r="F214" s="1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3"/>
      <c r="B215" s="13"/>
      <c r="C215" s="13"/>
      <c r="D215" s="13"/>
      <c r="E215" s="13"/>
      <c r="F215" s="1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3"/>
      <c r="B216" s="13"/>
      <c r="C216" s="13"/>
      <c r="D216" s="13"/>
      <c r="E216" s="13"/>
      <c r="F216" s="1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3"/>
      <c r="B217" s="13"/>
      <c r="C217" s="13"/>
      <c r="D217" s="13"/>
      <c r="E217" s="13"/>
      <c r="F217" s="1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3"/>
      <c r="B218" s="13"/>
      <c r="C218" s="13"/>
      <c r="D218" s="13"/>
      <c r="E218" s="13"/>
      <c r="F218" s="1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3"/>
      <c r="B219" s="13"/>
      <c r="C219" s="13"/>
      <c r="D219" s="13"/>
      <c r="E219" s="13"/>
      <c r="F219" s="1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3"/>
      <c r="B220" s="13"/>
      <c r="C220" s="13"/>
      <c r="D220" s="13"/>
      <c r="E220" s="13"/>
      <c r="F220" s="1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3"/>
      <c r="B221" s="13"/>
      <c r="C221" s="13"/>
      <c r="D221" s="13"/>
      <c r="E221" s="13"/>
      <c r="F221" s="1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3"/>
      <c r="B222" s="13"/>
      <c r="C222" s="13"/>
      <c r="D222" s="13"/>
      <c r="E222" s="13"/>
      <c r="F222" s="1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3"/>
      <c r="B223" s="13"/>
      <c r="C223" s="13"/>
      <c r="D223" s="13"/>
      <c r="E223" s="13"/>
      <c r="F223" s="1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3"/>
      <c r="B224" s="13"/>
      <c r="C224" s="13"/>
      <c r="D224" s="13"/>
      <c r="E224" s="13"/>
      <c r="F224" s="1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3"/>
      <c r="B225" s="13"/>
      <c r="C225" s="13"/>
      <c r="D225" s="13"/>
      <c r="E225" s="13"/>
      <c r="F225" s="1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3"/>
      <c r="B226" s="13"/>
      <c r="C226" s="13"/>
      <c r="D226" s="13"/>
      <c r="E226" s="13"/>
      <c r="F226" s="1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3"/>
      <c r="B227" s="13"/>
      <c r="C227" s="13"/>
      <c r="D227" s="13"/>
      <c r="E227" s="13"/>
      <c r="F227" s="1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3"/>
      <c r="B228" s="13"/>
      <c r="C228" s="13"/>
      <c r="D228" s="13"/>
      <c r="E228" s="13"/>
      <c r="F228" s="1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3"/>
      <c r="B229" s="13"/>
      <c r="C229" s="13"/>
      <c r="D229" s="13"/>
      <c r="E229" s="13"/>
      <c r="F229" s="1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3"/>
      <c r="B230" s="13"/>
      <c r="C230" s="13"/>
      <c r="D230" s="13"/>
      <c r="E230" s="13"/>
      <c r="F230" s="1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3"/>
      <c r="B231" s="13"/>
      <c r="C231" s="13"/>
      <c r="D231" s="13"/>
      <c r="E231" s="13"/>
      <c r="F231" s="1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3"/>
      <c r="B232" s="13"/>
      <c r="C232" s="13"/>
      <c r="D232" s="13"/>
      <c r="E232" s="13"/>
      <c r="F232" s="1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3"/>
      <c r="B233" s="13"/>
      <c r="C233" s="13"/>
      <c r="D233" s="13"/>
      <c r="E233" s="13"/>
      <c r="F233" s="1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3"/>
      <c r="B234" s="13"/>
      <c r="C234" s="13"/>
      <c r="D234" s="13"/>
      <c r="E234" s="13"/>
      <c r="F234" s="1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3"/>
      <c r="B235" s="13"/>
      <c r="C235" s="13"/>
      <c r="D235" s="13"/>
      <c r="E235" s="13"/>
      <c r="F235" s="1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3"/>
      <c r="B236" s="13"/>
      <c r="C236" s="13"/>
      <c r="D236" s="13"/>
      <c r="E236" s="13"/>
      <c r="F236" s="1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3"/>
      <c r="B237" s="13"/>
      <c r="C237" s="13"/>
      <c r="D237" s="13"/>
      <c r="E237" s="13"/>
      <c r="F237" s="1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3"/>
      <c r="B238" s="13"/>
      <c r="C238" s="13"/>
      <c r="D238" s="13"/>
      <c r="E238" s="13"/>
      <c r="F238" s="1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3"/>
      <c r="B239" s="13"/>
      <c r="C239" s="13"/>
      <c r="D239" s="13"/>
      <c r="E239" s="13"/>
      <c r="F239" s="1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3"/>
      <c r="B240" s="13"/>
      <c r="C240" s="13"/>
      <c r="D240" s="13"/>
      <c r="E240" s="13"/>
      <c r="F240" s="1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3"/>
      <c r="B241" s="13"/>
      <c r="C241" s="13"/>
      <c r="D241" s="13"/>
      <c r="E241" s="13"/>
      <c r="F241" s="1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A1:F1"/>
    <mergeCell ref="C2:E2"/>
    <mergeCell ref="C3:E3"/>
    <mergeCell ref="C4:E4"/>
    <mergeCell ref="C5:E5"/>
    <mergeCell ref="C6:E6"/>
    <mergeCell ref="C7:E7"/>
    <mergeCell ref="A8:F8"/>
  </mergeCells>
  <dataValidations>
    <dataValidation type="list" allowBlank="1" showErrorMessage="1" sqref="C10:D27 C29:D34 C36:D37 C39:D40 C42:D47 C49:D53 C55:D58">
      <formula1>"0,1,2,3"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57.5"/>
    <col customWidth="1" min="3" max="3" width="14.5"/>
    <col customWidth="1" min="4" max="4" width="14.88"/>
    <col customWidth="1" min="5" max="5" width="39.5"/>
    <col customWidth="1" min="6" max="6" width="37.75"/>
  </cols>
  <sheetData>
    <row r="1" ht="15.75" customHeight="1">
      <c r="A1" s="3"/>
      <c r="B1" s="4" t="s">
        <v>1</v>
      </c>
      <c r="C1" s="25" t="s">
        <v>65</v>
      </c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 t="s">
        <v>2</v>
      </c>
      <c r="C2" s="25" t="s">
        <v>66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3</v>
      </c>
      <c r="C3" s="25" t="s">
        <v>67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4" t="s">
        <v>4</v>
      </c>
      <c r="C4" s="26" t="s">
        <v>68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4" t="s">
        <v>5</v>
      </c>
      <c r="C5" s="26" t="s">
        <v>69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4" t="s">
        <v>6</v>
      </c>
      <c r="C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7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7"/>
      <c r="B8" s="8" t="s">
        <v>70</v>
      </c>
      <c r="C8" s="9" t="s">
        <v>9</v>
      </c>
      <c r="D8" s="9" t="s">
        <v>10</v>
      </c>
      <c r="E8" s="9" t="s">
        <v>11</v>
      </c>
      <c r="F8" s="9" t="s">
        <v>12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">
        <v>1.0</v>
      </c>
      <c r="B9" s="11" t="s">
        <v>13</v>
      </c>
      <c r="C9" s="27">
        <v>3.0</v>
      </c>
      <c r="D9" s="12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>
        <v>2.0</v>
      </c>
      <c r="B10" s="11" t="s">
        <v>14</v>
      </c>
      <c r="C10" s="27">
        <v>3.0</v>
      </c>
      <c r="D10" s="12"/>
      <c r="E10" s="28"/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0">
        <v>3.0</v>
      </c>
      <c r="B11" s="11" t="s">
        <v>15</v>
      </c>
      <c r="C11" s="27">
        <v>2.0</v>
      </c>
      <c r="D11" s="12"/>
      <c r="E11" s="28" t="s">
        <v>71</v>
      </c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>
        <v>4.0</v>
      </c>
      <c r="B12" s="11" t="s">
        <v>16</v>
      </c>
      <c r="C12" s="27">
        <v>3.0</v>
      </c>
      <c r="D12" s="12"/>
      <c r="E12" s="13"/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">
        <v>5.0</v>
      </c>
      <c r="B13" s="11" t="s">
        <v>17</v>
      </c>
      <c r="C13" s="27">
        <v>2.0</v>
      </c>
      <c r="D13" s="12"/>
      <c r="E13" s="28" t="s">
        <v>72</v>
      </c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0">
        <v>6.0</v>
      </c>
      <c r="B14" s="11" t="s">
        <v>18</v>
      </c>
      <c r="C14" s="27">
        <v>3.0</v>
      </c>
      <c r="D14" s="12"/>
      <c r="E14" s="13"/>
      <c r="F14" s="1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">
        <v>7.0</v>
      </c>
      <c r="B15" s="11" t="s">
        <v>19</v>
      </c>
      <c r="C15" s="27">
        <v>3.0</v>
      </c>
      <c r="D15" s="12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">
        <v>8.0</v>
      </c>
      <c r="B16" s="11" t="s">
        <v>20</v>
      </c>
      <c r="C16" s="27">
        <v>3.0</v>
      </c>
      <c r="D16" s="12"/>
      <c r="E16" s="28" t="s">
        <v>73</v>
      </c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">
        <v>9.0</v>
      </c>
      <c r="B17" s="11" t="s">
        <v>21</v>
      </c>
      <c r="C17" s="27">
        <v>3.0</v>
      </c>
      <c r="D17" s="12"/>
      <c r="E17" s="13"/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">
        <v>10.0</v>
      </c>
      <c r="B18" s="11" t="s">
        <v>22</v>
      </c>
      <c r="C18" s="27">
        <v>3.0</v>
      </c>
      <c r="D18" s="12"/>
      <c r="E18" s="13"/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0">
        <v>11.0</v>
      </c>
      <c r="B19" s="11" t="s">
        <v>23</v>
      </c>
      <c r="C19" s="27">
        <v>3.0</v>
      </c>
      <c r="D19" s="12"/>
      <c r="E19" s="13"/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">
        <v>12.0</v>
      </c>
      <c r="B20" s="11" t="s">
        <v>24</v>
      </c>
      <c r="C20" s="27">
        <v>3.0</v>
      </c>
      <c r="D20" s="12"/>
      <c r="E20" s="13"/>
      <c r="F20" s="1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13.0</v>
      </c>
      <c r="B21" s="11" t="s">
        <v>25</v>
      </c>
      <c r="C21" s="27">
        <v>3.0</v>
      </c>
      <c r="D21" s="12"/>
      <c r="E21" s="28" t="s">
        <v>74</v>
      </c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14.0</v>
      </c>
      <c r="B22" s="11" t="s">
        <v>26</v>
      </c>
      <c r="C22" s="27">
        <v>2.0</v>
      </c>
      <c r="D22" s="12"/>
      <c r="E22" s="28" t="s">
        <v>75</v>
      </c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15.0</v>
      </c>
      <c r="B23" s="11" t="s">
        <v>27</v>
      </c>
      <c r="C23" s="27">
        <v>3.0</v>
      </c>
      <c r="D23" s="12"/>
      <c r="E23" s="28" t="s">
        <v>76</v>
      </c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16.0</v>
      </c>
      <c r="B24" s="11" t="s">
        <v>28</v>
      </c>
      <c r="C24" s="27">
        <v>3.0</v>
      </c>
      <c r="D24" s="12"/>
      <c r="E24" s="13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17.0</v>
      </c>
      <c r="B25" s="11" t="s">
        <v>29</v>
      </c>
      <c r="C25" s="27">
        <v>2.0</v>
      </c>
      <c r="D25" s="12"/>
      <c r="E25" s="28" t="s">
        <v>77</v>
      </c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18.0</v>
      </c>
      <c r="B26" s="11" t="s">
        <v>30</v>
      </c>
      <c r="C26" s="27">
        <v>3.0</v>
      </c>
      <c r="D26" s="12"/>
      <c r="E26" s="28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7"/>
      <c r="B27" s="14" t="s">
        <v>31</v>
      </c>
      <c r="C27" s="15" t="s">
        <v>32</v>
      </c>
      <c r="D27" s="15" t="s">
        <v>32</v>
      </c>
      <c r="E27" s="15" t="s">
        <v>33</v>
      </c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7">
        <v>19.0</v>
      </c>
      <c r="B28" s="11" t="s">
        <v>34</v>
      </c>
      <c r="C28" s="27">
        <v>3.0</v>
      </c>
      <c r="D28" s="12"/>
      <c r="E28" s="27" t="s">
        <v>78</v>
      </c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>
        <v>20.0</v>
      </c>
      <c r="B29" s="11" t="s">
        <v>35</v>
      </c>
      <c r="C29" s="27">
        <v>2.0</v>
      </c>
      <c r="D29" s="12"/>
      <c r="E29" s="27" t="s">
        <v>79</v>
      </c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>
        <v>21.0</v>
      </c>
      <c r="B30" s="11" t="s">
        <v>36</v>
      </c>
      <c r="C30" s="12"/>
      <c r="D30" s="12"/>
      <c r="E30" s="12"/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>
        <v>22.0</v>
      </c>
      <c r="B31" s="11" t="s">
        <v>37</v>
      </c>
      <c r="C31" s="27">
        <v>2.0</v>
      </c>
      <c r="D31" s="12"/>
      <c r="E31" s="27" t="s">
        <v>80</v>
      </c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>
        <v>23.0</v>
      </c>
      <c r="B32" s="11" t="s">
        <v>38</v>
      </c>
      <c r="C32" s="27">
        <v>3.0</v>
      </c>
      <c r="D32" s="12"/>
      <c r="E32" s="12"/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7">
        <v>24.0</v>
      </c>
      <c r="B33" s="11" t="s">
        <v>39</v>
      </c>
      <c r="C33" s="27">
        <v>3.0</v>
      </c>
      <c r="D33" s="12"/>
      <c r="E33" s="12"/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8"/>
      <c r="B34" s="8" t="s">
        <v>40</v>
      </c>
      <c r="C34" s="15" t="s">
        <v>32</v>
      </c>
      <c r="D34" s="15" t="s">
        <v>32</v>
      </c>
      <c r="E34" s="15" t="s">
        <v>33</v>
      </c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17">
        <v>25.0</v>
      </c>
      <c r="B35" s="11" t="s">
        <v>41</v>
      </c>
      <c r="C35" s="27">
        <v>3.0</v>
      </c>
      <c r="D35" s="12"/>
      <c r="E35" s="12"/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>
        <v>26.0</v>
      </c>
      <c r="B36" s="11" t="s">
        <v>42</v>
      </c>
      <c r="C36" s="27">
        <v>3.0</v>
      </c>
      <c r="D36" s="12"/>
      <c r="E36" s="12"/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7"/>
      <c r="B37" s="8" t="s">
        <v>43</v>
      </c>
      <c r="C37" s="15" t="s">
        <v>32</v>
      </c>
      <c r="D37" s="15" t="s">
        <v>32</v>
      </c>
      <c r="E37" s="15" t="s">
        <v>33</v>
      </c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7">
        <v>27.0</v>
      </c>
      <c r="B38" s="11" t="s">
        <v>44</v>
      </c>
      <c r="C38" s="27">
        <v>3.0</v>
      </c>
      <c r="D38" s="12"/>
      <c r="E38" s="27" t="s">
        <v>81</v>
      </c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7">
        <v>28.0</v>
      </c>
      <c r="B39" s="11" t="s">
        <v>45</v>
      </c>
      <c r="C39" s="27">
        <v>3.0</v>
      </c>
      <c r="D39" s="12"/>
      <c r="E39" s="27" t="s">
        <v>82</v>
      </c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7"/>
      <c r="B40" s="14" t="s">
        <v>46</v>
      </c>
      <c r="C40" s="15" t="s">
        <v>32</v>
      </c>
      <c r="D40" s="15" t="s">
        <v>32</v>
      </c>
      <c r="E40" s="15" t="s">
        <v>33</v>
      </c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7">
        <v>29.0</v>
      </c>
      <c r="B41" s="21" t="s">
        <v>47</v>
      </c>
      <c r="C41" s="27">
        <v>3.0</v>
      </c>
      <c r="D41" s="12"/>
      <c r="E41" s="12"/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7">
        <v>30.0</v>
      </c>
      <c r="B42" s="21" t="s">
        <v>48</v>
      </c>
      <c r="C42" s="27">
        <v>3.0</v>
      </c>
      <c r="D42" s="12"/>
      <c r="E42" s="12"/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7">
        <v>31.0</v>
      </c>
      <c r="B43" s="21" t="s">
        <v>49</v>
      </c>
      <c r="C43" s="27">
        <v>2.0</v>
      </c>
      <c r="D43" s="12"/>
      <c r="E43" s="27" t="s">
        <v>83</v>
      </c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7">
        <v>32.0</v>
      </c>
      <c r="B44" s="22" t="s">
        <v>50</v>
      </c>
      <c r="C44" s="27">
        <v>1.0</v>
      </c>
      <c r="D44" s="12"/>
      <c r="E44" s="12"/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7">
        <v>33.0</v>
      </c>
      <c r="B45" s="21" t="s">
        <v>51</v>
      </c>
      <c r="C45" s="27">
        <v>0.0</v>
      </c>
      <c r="D45" s="12"/>
      <c r="E45" s="27" t="s">
        <v>84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>
        <v>34.0</v>
      </c>
      <c r="B46" s="21" t="s">
        <v>52</v>
      </c>
      <c r="C46" s="27">
        <v>3.0</v>
      </c>
      <c r="D46" s="12"/>
      <c r="E46" s="12"/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7"/>
      <c r="B47" s="14" t="s">
        <v>53</v>
      </c>
      <c r="C47" s="15" t="s">
        <v>32</v>
      </c>
      <c r="D47" s="15" t="s">
        <v>32</v>
      </c>
      <c r="E47" s="15" t="s">
        <v>33</v>
      </c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7">
        <v>35.0</v>
      </c>
      <c r="B48" s="21" t="s">
        <v>54</v>
      </c>
      <c r="C48" s="27">
        <v>3.0</v>
      </c>
      <c r="D48" s="12"/>
      <c r="E48" s="12"/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7">
        <v>36.0</v>
      </c>
      <c r="B49" s="21" t="s">
        <v>55</v>
      </c>
      <c r="C49" s="27">
        <v>3.0</v>
      </c>
      <c r="D49" s="12"/>
      <c r="E49" s="12"/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7">
        <v>37.0</v>
      </c>
      <c r="B50" s="21" t="s">
        <v>56</v>
      </c>
      <c r="C50" s="27">
        <v>1.0</v>
      </c>
      <c r="D50" s="12"/>
      <c r="E50" s="27" t="s">
        <v>85</v>
      </c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7">
        <v>38.0</v>
      </c>
      <c r="B51" s="21" t="s">
        <v>57</v>
      </c>
      <c r="C51" s="27">
        <v>3.0</v>
      </c>
      <c r="D51" s="12"/>
      <c r="E51" s="12"/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7">
        <v>39.0</v>
      </c>
      <c r="B52" s="22" t="s">
        <v>58</v>
      </c>
      <c r="C52" s="27">
        <v>3.0</v>
      </c>
      <c r="D52" s="12"/>
      <c r="E52" s="12"/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7"/>
      <c r="B53" s="14" t="s">
        <v>59</v>
      </c>
      <c r="C53" s="15" t="s">
        <v>32</v>
      </c>
      <c r="D53" s="15" t="s">
        <v>32</v>
      </c>
      <c r="E53" s="15" t="s">
        <v>33</v>
      </c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7">
        <v>40.0</v>
      </c>
      <c r="B54" s="22" t="s">
        <v>60</v>
      </c>
      <c r="C54" s="27">
        <v>3.0</v>
      </c>
      <c r="D54" s="12"/>
      <c r="E54" s="12"/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7">
        <v>41.0</v>
      </c>
      <c r="B55" s="21" t="s">
        <v>61</v>
      </c>
      <c r="C55" s="27">
        <v>3.0</v>
      </c>
      <c r="D55" s="12"/>
      <c r="E55" s="12"/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">
        <v>42.0</v>
      </c>
      <c r="B56" s="22" t="s">
        <v>62</v>
      </c>
      <c r="C56" s="27">
        <v>3.0</v>
      </c>
      <c r="D56" s="12"/>
      <c r="E56" s="12"/>
      <c r="F56" s="1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7">
        <v>43.0</v>
      </c>
      <c r="B57" s="21" t="s">
        <v>63</v>
      </c>
      <c r="C57" s="27">
        <v>3.0</v>
      </c>
      <c r="D57" s="12"/>
      <c r="E57" s="12"/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/>
      <c r="B58" s="24" t="s">
        <v>64</v>
      </c>
      <c r="C58" s="13">
        <f t="shared" ref="C58:D58" si="1">SUM(C9,C10,C11,C12,C13,C14,C15,C16,C17,C18,C19,C20,C21,C22,C23,C24,C25,C26,C28,C29,C30,C31,C32,C33,C35,C36,C38,C39,C41,C42,C43,C44,C45,C46,C48,C49,C50,C51,C52,C54,C55,C56,C57)</f>
        <v>112</v>
      </c>
      <c r="D58" s="13">
        <f t="shared" si="1"/>
        <v>0</v>
      </c>
      <c r="E58" s="13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/>
      <c r="B59" s="13"/>
      <c r="C59" s="13"/>
      <c r="D59" s="13"/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/>
      <c r="B60" s="13"/>
      <c r="C60" s="13"/>
      <c r="D60" s="13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/>
      <c r="B61" s="13"/>
      <c r="C61" s="13"/>
      <c r="D61" s="13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3"/>
      <c r="B62" s="13"/>
      <c r="C62" s="13"/>
      <c r="D62" s="13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/>
      <c r="B63" s="13"/>
      <c r="C63" s="13"/>
      <c r="D63" s="13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/>
      <c r="B64" s="13"/>
      <c r="C64" s="13"/>
      <c r="D64" s="13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/>
      <c r="B65" s="13"/>
      <c r="C65" s="13"/>
      <c r="D65" s="13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3"/>
      <c r="B66" s="13"/>
      <c r="C66" s="13"/>
      <c r="D66" s="13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3"/>
      <c r="B67" s="13"/>
      <c r="C67" s="13"/>
      <c r="D67" s="13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/>
      <c r="B68" s="13"/>
      <c r="C68" s="13"/>
      <c r="D68" s="13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/>
      <c r="B69" s="13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/>
      <c r="B70" s="13"/>
      <c r="C70" s="13"/>
      <c r="D70" s="13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/>
      <c r="B71" s="13"/>
      <c r="C71" s="13"/>
      <c r="D71" s="13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/>
      <c r="B72" s="13"/>
      <c r="C72" s="13"/>
      <c r="D72" s="13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/>
      <c r="B73" s="13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/>
      <c r="B74" s="13"/>
      <c r="C74" s="13"/>
      <c r="D74" s="13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/>
      <c r="B75" s="13"/>
      <c r="C75" s="13"/>
      <c r="D75" s="13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/>
      <c r="B76" s="13"/>
      <c r="C76" s="13"/>
      <c r="D76" s="13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/>
      <c r="B77" s="13"/>
      <c r="C77" s="13"/>
      <c r="D77" s="13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/>
      <c r="B78" s="13"/>
      <c r="C78" s="13"/>
      <c r="D78" s="13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/>
      <c r="B79" s="13"/>
      <c r="C79" s="13"/>
      <c r="D79" s="13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/>
      <c r="B80" s="13"/>
      <c r="C80" s="13"/>
      <c r="D80" s="13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/>
      <c r="B81" s="13"/>
      <c r="C81" s="13"/>
      <c r="D81" s="13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/>
      <c r="B82" s="13"/>
      <c r="C82" s="13"/>
      <c r="D82" s="13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/>
      <c r="B83" s="13"/>
      <c r="C83" s="13"/>
      <c r="D83" s="13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/>
      <c r="B84" s="13"/>
      <c r="C84" s="13"/>
      <c r="D84" s="13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/>
      <c r="B85" s="13"/>
      <c r="C85" s="13"/>
      <c r="D85" s="13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/>
      <c r="B86" s="13"/>
      <c r="C86" s="13"/>
      <c r="D86" s="13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/>
      <c r="B87" s="13"/>
      <c r="C87" s="13"/>
      <c r="D87" s="13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/>
      <c r="B88" s="13"/>
      <c r="C88" s="13"/>
      <c r="D88" s="13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/>
      <c r="B89" s="13"/>
      <c r="C89" s="13"/>
      <c r="D89" s="13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/>
      <c r="B90" s="13"/>
      <c r="C90" s="13"/>
      <c r="D90" s="13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/>
      <c r="B91" s="13"/>
      <c r="C91" s="13"/>
      <c r="D91" s="13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/>
      <c r="B92" s="13"/>
      <c r="C92" s="13"/>
      <c r="D92" s="13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/>
      <c r="B93" s="13"/>
      <c r="C93" s="13"/>
      <c r="D93" s="13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/>
      <c r="B94" s="13"/>
      <c r="C94" s="13"/>
      <c r="D94" s="13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/>
      <c r="B95" s="13"/>
      <c r="C95" s="13"/>
      <c r="D95" s="13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/>
      <c r="B96" s="13"/>
      <c r="C96" s="13"/>
      <c r="D96" s="13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/>
      <c r="B97" s="13"/>
      <c r="C97" s="13"/>
      <c r="D97" s="13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/>
      <c r="B98" s="13"/>
      <c r="C98" s="13"/>
      <c r="D98" s="13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/>
      <c r="B99" s="13"/>
      <c r="C99" s="13"/>
      <c r="D99" s="13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/>
      <c r="B100" s="13"/>
      <c r="C100" s="13"/>
      <c r="D100" s="13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/>
      <c r="B101" s="13"/>
      <c r="C101" s="13"/>
      <c r="D101" s="13"/>
      <c r="E101" s="13"/>
      <c r="F101" s="1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/>
      <c r="B102" s="13"/>
      <c r="C102" s="13"/>
      <c r="D102" s="13"/>
      <c r="E102" s="13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/>
      <c r="B103" s="13"/>
      <c r="C103" s="13"/>
      <c r="D103" s="13"/>
      <c r="E103" s="13"/>
      <c r="F103" s="1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/>
      <c r="B104" s="13"/>
      <c r="C104" s="13"/>
      <c r="D104" s="13"/>
      <c r="E104" s="13"/>
      <c r="F104" s="1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/>
      <c r="B105" s="13"/>
      <c r="C105" s="13"/>
      <c r="D105" s="13"/>
      <c r="E105" s="13"/>
      <c r="F105" s="1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/>
      <c r="B106" s="13"/>
      <c r="C106" s="13"/>
      <c r="D106" s="13"/>
      <c r="E106" s="13"/>
      <c r="F106" s="1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3"/>
      <c r="B107" s="13"/>
      <c r="C107" s="13"/>
      <c r="D107" s="13"/>
      <c r="E107" s="13"/>
      <c r="F107" s="1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3"/>
      <c r="B108" s="13"/>
      <c r="C108" s="13"/>
      <c r="D108" s="13"/>
      <c r="E108" s="13"/>
      <c r="F108" s="1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3"/>
      <c r="B109" s="13"/>
      <c r="C109" s="13"/>
      <c r="D109" s="13"/>
      <c r="E109" s="13"/>
      <c r="F109" s="1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3"/>
      <c r="B110" s="13"/>
      <c r="C110" s="13"/>
      <c r="D110" s="13"/>
      <c r="E110" s="13"/>
      <c r="F110" s="1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3"/>
      <c r="B111" s="13"/>
      <c r="C111" s="13"/>
      <c r="D111" s="13"/>
      <c r="E111" s="13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3"/>
      <c r="B112" s="13"/>
      <c r="C112" s="13"/>
      <c r="D112" s="13"/>
      <c r="E112" s="13"/>
      <c r="F112" s="1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3"/>
      <c r="B113" s="13"/>
      <c r="C113" s="13"/>
      <c r="D113" s="13"/>
      <c r="E113" s="13"/>
      <c r="F113" s="1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3"/>
      <c r="B114" s="13"/>
      <c r="C114" s="13"/>
      <c r="D114" s="13"/>
      <c r="E114" s="13"/>
      <c r="F114" s="1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3"/>
      <c r="B115" s="13"/>
      <c r="C115" s="13"/>
      <c r="D115" s="13"/>
      <c r="E115" s="13"/>
      <c r="F115" s="1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3"/>
      <c r="B116" s="13"/>
      <c r="C116" s="13"/>
      <c r="D116" s="13"/>
      <c r="E116" s="13"/>
      <c r="F116" s="1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3"/>
      <c r="B117" s="13"/>
      <c r="C117" s="13"/>
      <c r="D117" s="13"/>
      <c r="E117" s="13"/>
      <c r="F117" s="1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3"/>
      <c r="B118" s="13"/>
      <c r="C118" s="13"/>
      <c r="D118" s="13"/>
      <c r="E118" s="13"/>
      <c r="F118" s="1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3"/>
      <c r="B119" s="13"/>
      <c r="C119" s="13"/>
      <c r="D119" s="13"/>
      <c r="E119" s="13"/>
      <c r="F119" s="1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3"/>
      <c r="B120" s="13"/>
      <c r="C120" s="13"/>
      <c r="D120" s="13"/>
      <c r="E120" s="13"/>
      <c r="F120" s="1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3"/>
      <c r="B121" s="13"/>
      <c r="C121" s="13"/>
      <c r="D121" s="13"/>
      <c r="E121" s="13"/>
      <c r="F121" s="1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3"/>
      <c r="B122" s="13"/>
      <c r="C122" s="13"/>
      <c r="D122" s="13"/>
      <c r="E122" s="13"/>
      <c r="F122" s="1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3"/>
      <c r="B123" s="13"/>
      <c r="C123" s="13"/>
      <c r="D123" s="13"/>
      <c r="E123" s="13"/>
      <c r="F123" s="1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3"/>
      <c r="B124" s="13"/>
      <c r="C124" s="13"/>
      <c r="D124" s="13"/>
      <c r="E124" s="13"/>
      <c r="F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3"/>
      <c r="B125" s="13"/>
      <c r="C125" s="13"/>
      <c r="D125" s="13"/>
      <c r="E125" s="13"/>
      <c r="F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3"/>
      <c r="B126" s="13"/>
      <c r="C126" s="13"/>
      <c r="D126" s="13"/>
      <c r="E126" s="13"/>
      <c r="F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3"/>
      <c r="B127" s="13"/>
      <c r="C127" s="13"/>
      <c r="D127" s="13"/>
      <c r="E127" s="13"/>
      <c r="F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3"/>
      <c r="B128" s="13"/>
      <c r="C128" s="13"/>
      <c r="D128" s="13"/>
      <c r="E128" s="13"/>
      <c r="F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3"/>
      <c r="B129" s="13"/>
      <c r="C129" s="13"/>
      <c r="D129" s="13"/>
      <c r="E129" s="13"/>
      <c r="F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3"/>
      <c r="B130" s="13"/>
      <c r="C130" s="13"/>
      <c r="D130" s="13"/>
      <c r="E130" s="13"/>
      <c r="F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3"/>
      <c r="B131" s="13"/>
      <c r="C131" s="13"/>
      <c r="D131" s="13"/>
      <c r="E131" s="13"/>
      <c r="F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3"/>
      <c r="B132" s="13"/>
      <c r="C132" s="13"/>
      <c r="D132" s="13"/>
      <c r="E132" s="13"/>
      <c r="F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3"/>
      <c r="B133" s="13"/>
      <c r="C133" s="13"/>
      <c r="D133" s="13"/>
      <c r="E133" s="13"/>
      <c r="F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3"/>
      <c r="B134" s="13"/>
      <c r="C134" s="13"/>
      <c r="D134" s="13"/>
      <c r="E134" s="13"/>
      <c r="F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3"/>
      <c r="B135" s="13"/>
      <c r="C135" s="13"/>
      <c r="D135" s="13"/>
      <c r="E135" s="13"/>
      <c r="F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3"/>
      <c r="B136" s="13"/>
      <c r="C136" s="13"/>
      <c r="D136" s="13"/>
      <c r="E136" s="13"/>
      <c r="F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3"/>
      <c r="B137" s="13"/>
      <c r="C137" s="13"/>
      <c r="D137" s="13"/>
      <c r="E137" s="13"/>
      <c r="F137" s="1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3"/>
      <c r="B138" s="13"/>
      <c r="C138" s="13"/>
      <c r="D138" s="13"/>
      <c r="E138" s="13"/>
      <c r="F138" s="1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3"/>
      <c r="B139" s="13"/>
      <c r="C139" s="13"/>
      <c r="D139" s="13"/>
      <c r="E139" s="13"/>
      <c r="F139" s="1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3"/>
      <c r="B140" s="13"/>
      <c r="C140" s="13"/>
      <c r="D140" s="13"/>
      <c r="E140" s="13"/>
      <c r="F140" s="1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3"/>
      <c r="B141" s="13"/>
      <c r="C141" s="13"/>
      <c r="D141" s="13"/>
      <c r="E141" s="13"/>
      <c r="F141" s="1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3"/>
      <c r="B142" s="13"/>
      <c r="C142" s="13"/>
      <c r="D142" s="13"/>
      <c r="E142" s="13"/>
      <c r="F142" s="1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3"/>
      <c r="B143" s="13"/>
      <c r="C143" s="13"/>
      <c r="D143" s="13"/>
      <c r="E143" s="13"/>
      <c r="F143" s="1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3"/>
      <c r="B144" s="13"/>
      <c r="C144" s="13"/>
      <c r="D144" s="13"/>
      <c r="E144" s="13"/>
      <c r="F144" s="1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3"/>
      <c r="B145" s="13"/>
      <c r="C145" s="13"/>
      <c r="D145" s="13"/>
      <c r="E145" s="13"/>
      <c r="F145" s="1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3"/>
      <c r="B146" s="13"/>
      <c r="C146" s="13"/>
      <c r="D146" s="13"/>
      <c r="E146" s="13"/>
      <c r="F146" s="1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3"/>
      <c r="B147" s="13"/>
      <c r="C147" s="13"/>
      <c r="D147" s="13"/>
      <c r="E147" s="13"/>
      <c r="F147" s="1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3"/>
      <c r="B148" s="13"/>
      <c r="C148" s="13"/>
      <c r="D148" s="13"/>
      <c r="E148" s="13"/>
      <c r="F148" s="1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3"/>
      <c r="B149" s="13"/>
      <c r="C149" s="13"/>
      <c r="D149" s="13"/>
      <c r="E149" s="13"/>
      <c r="F149" s="1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3"/>
      <c r="B150" s="13"/>
      <c r="C150" s="13"/>
      <c r="D150" s="13"/>
      <c r="E150" s="13"/>
      <c r="F150" s="1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3"/>
      <c r="B151" s="13"/>
      <c r="C151" s="13"/>
      <c r="D151" s="13"/>
      <c r="E151" s="13"/>
      <c r="F151" s="1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3"/>
      <c r="B152" s="13"/>
      <c r="C152" s="13"/>
      <c r="D152" s="13"/>
      <c r="E152" s="13"/>
      <c r="F152" s="1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3"/>
      <c r="B153" s="13"/>
      <c r="C153" s="13"/>
      <c r="D153" s="13"/>
      <c r="E153" s="13"/>
      <c r="F153" s="1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3"/>
      <c r="B154" s="13"/>
      <c r="C154" s="13"/>
      <c r="D154" s="13"/>
      <c r="E154" s="13"/>
      <c r="F154" s="1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3"/>
      <c r="B155" s="13"/>
      <c r="C155" s="13"/>
      <c r="D155" s="13"/>
      <c r="E155" s="13"/>
      <c r="F155" s="1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3"/>
      <c r="B156" s="13"/>
      <c r="C156" s="13"/>
      <c r="D156" s="13"/>
      <c r="E156" s="13"/>
      <c r="F156" s="1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3"/>
      <c r="B157" s="13"/>
      <c r="C157" s="13"/>
      <c r="D157" s="13"/>
      <c r="E157" s="13"/>
      <c r="F157" s="1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3"/>
      <c r="B158" s="13"/>
      <c r="C158" s="13"/>
      <c r="D158" s="13"/>
      <c r="E158" s="13"/>
      <c r="F158" s="1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3"/>
      <c r="B159" s="13"/>
      <c r="C159" s="13"/>
      <c r="D159" s="13"/>
      <c r="E159" s="13"/>
      <c r="F159" s="1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3"/>
      <c r="B160" s="13"/>
      <c r="C160" s="13"/>
      <c r="D160" s="13"/>
      <c r="E160" s="13"/>
      <c r="F160" s="1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3"/>
      <c r="B161" s="13"/>
      <c r="C161" s="13"/>
      <c r="D161" s="13"/>
      <c r="E161" s="13"/>
      <c r="F161" s="1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3"/>
      <c r="B162" s="13"/>
      <c r="C162" s="13"/>
      <c r="D162" s="13"/>
      <c r="E162" s="13"/>
      <c r="F162" s="1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3"/>
      <c r="B163" s="13"/>
      <c r="C163" s="13"/>
      <c r="D163" s="13"/>
      <c r="E163" s="13"/>
      <c r="F163" s="1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3"/>
      <c r="B164" s="13"/>
      <c r="C164" s="13"/>
      <c r="D164" s="13"/>
      <c r="E164" s="13"/>
      <c r="F164" s="1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3"/>
      <c r="B165" s="13"/>
      <c r="C165" s="13"/>
      <c r="D165" s="13"/>
      <c r="E165" s="13"/>
      <c r="F165" s="1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3"/>
      <c r="B166" s="13"/>
      <c r="C166" s="13"/>
      <c r="D166" s="13"/>
      <c r="E166" s="13"/>
      <c r="F166" s="1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3"/>
      <c r="B167" s="13"/>
      <c r="C167" s="13"/>
      <c r="D167" s="13"/>
      <c r="E167" s="13"/>
      <c r="F167" s="1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3"/>
      <c r="B168" s="13"/>
      <c r="C168" s="13"/>
      <c r="D168" s="13"/>
      <c r="E168" s="13"/>
      <c r="F168" s="1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3"/>
      <c r="B169" s="13"/>
      <c r="C169" s="13"/>
      <c r="D169" s="13"/>
      <c r="E169" s="13"/>
      <c r="F169" s="1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3"/>
      <c r="B170" s="13"/>
      <c r="C170" s="13"/>
      <c r="D170" s="13"/>
      <c r="E170" s="13"/>
      <c r="F170" s="1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3"/>
      <c r="B171" s="13"/>
      <c r="C171" s="13"/>
      <c r="D171" s="13"/>
      <c r="E171" s="13"/>
      <c r="F171" s="1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3"/>
      <c r="B172" s="13"/>
      <c r="C172" s="13"/>
      <c r="D172" s="13"/>
      <c r="E172" s="13"/>
      <c r="F172" s="1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3"/>
      <c r="B173" s="13"/>
      <c r="C173" s="13"/>
      <c r="D173" s="13"/>
      <c r="E173" s="13"/>
      <c r="F173" s="1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3"/>
      <c r="B174" s="13"/>
      <c r="C174" s="13"/>
      <c r="D174" s="13"/>
      <c r="E174" s="13"/>
      <c r="F174" s="1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3"/>
      <c r="B175" s="13"/>
      <c r="C175" s="13"/>
      <c r="D175" s="13"/>
      <c r="E175" s="13"/>
      <c r="F175" s="1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3"/>
      <c r="B176" s="13"/>
      <c r="C176" s="13"/>
      <c r="D176" s="13"/>
      <c r="E176" s="13"/>
      <c r="F176" s="1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3"/>
      <c r="B177" s="13"/>
      <c r="C177" s="13"/>
      <c r="D177" s="13"/>
      <c r="E177" s="13"/>
      <c r="F177" s="1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3"/>
      <c r="B178" s="13"/>
      <c r="C178" s="13"/>
      <c r="D178" s="13"/>
      <c r="E178" s="13"/>
      <c r="F178" s="1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3"/>
      <c r="B179" s="13"/>
      <c r="C179" s="13"/>
      <c r="D179" s="13"/>
      <c r="E179" s="13"/>
      <c r="F179" s="1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3"/>
      <c r="B180" s="13"/>
      <c r="C180" s="13"/>
      <c r="D180" s="13"/>
      <c r="E180" s="13"/>
      <c r="F180" s="1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3"/>
      <c r="B181" s="13"/>
      <c r="C181" s="13"/>
      <c r="D181" s="13"/>
      <c r="E181" s="13"/>
      <c r="F181" s="1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3"/>
      <c r="B182" s="13"/>
      <c r="C182" s="13"/>
      <c r="D182" s="13"/>
      <c r="E182" s="13"/>
      <c r="F182" s="1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3"/>
      <c r="B183" s="13"/>
      <c r="C183" s="13"/>
      <c r="D183" s="13"/>
      <c r="E183" s="13"/>
      <c r="F183" s="1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3"/>
      <c r="B184" s="13"/>
      <c r="C184" s="13"/>
      <c r="D184" s="13"/>
      <c r="E184" s="13"/>
      <c r="F184" s="1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3"/>
      <c r="B185" s="13"/>
      <c r="C185" s="13"/>
      <c r="D185" s="13"/>
      <c r="E185" s="13"/>
      <c r="F185" s="1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3"/>
      <c r="B186" s="13"/>
      <c r="C186" s="13"/>
      <c r="D186" s="13"/>
      <c r="E186" s="13"/>
      <c r="F186" s="1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3"/>
      <c r="B187" s="13"/>
      <c r="C187" s="13"/>
      <c r="D187" s="13"/>
      <c r="E187" s="13"/>
      <c r="F187" s="1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3"/>
      <c r="B188" s="13"/>
      <c r="C188" s="13"/>
      <c r="D188" s="13"/>
      <c r="E188" s="13"/>
      <c r="F188" s="1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3"/>
      <c r="B189" s="13"/>
      <c r="C189" s="13"/>
      <c r="D189" s="13"/>
      <c r="E189" s="13"/>
      <c r="F189" s="1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3"/>
      <c r="B190" s="13"/>
      <c r="C190" s="13"/>
      <c r="D190" s="13"/>
      <c r="E190" s="13"/>
      <c r="F190" s="1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3"/>
      <c r="B191" s="13"/>
      <c r="C191" s="13"/>
      <c r="D191" s="13"/>
      <c r="E191" s="13"/>
      <c r="F191" s="1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3"/>
      <c r="B192" s="13"/>
      <c r="C192" s="13"/>
      <c r="D192" s="13"/>
      <c r="E192" s="13"/>
      <c r="F192" s="1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3"/>
      <c r="B193" s="13"/>
      <c r="C193" s="13"/>
      <c r="D193" s="13"/>
      <c r="E193" s="13"/>
      <c r="F193" s="1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3"/>
      <c r="B194" s="13"/>
      <c r="C194" s="13"/>
      <c r="D194" s="13"/>
      <c r="E194" s="13"/>
      <c r="F194" s="1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3"/>
      <c r="B195" s="13"/>
      <c r="C195" s="13"/>
      <c r="D195" s="13"/>
      <c r="E195" s="13"/>
      <c r="F195" s="1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3"/>
      <c r="B196" s="13"/>
      <c r="C196" s="13"/>
      <c r="D196" s="13"/>
      <c r="E196" s="13"/>
      <c r="F196" s="1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3"/>
      <c r="B197" s="13"/>
      <c r="C197" s="13"/>
      <c r="D197" s="13"/>
      <c r="E197" s="13"/>
      <c r="F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3"/>
      <c r="B198" s="13"/>
      <c r="C198" s="13"/>
      <c r="D198" s="13"/>
      <c r="E198" s="13"/>
      <c r="F198" s="1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3"/>
      <c r="B199" s="13"/>
      <c r="C199" s="13"/>
      <c r="D199" s="13"/>
      <c r="E199" s="13"/>
      <c r="F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3"/>
      <c r="B200" s="13"/>
      <c r="C200" s="13"/>
      <c r="D200" s="13"/>
      <c r="E200" s="13"/>
      <c r="F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3"/>
      <c r="B201" s="13"/>
      <c r="C201" s="13"/>
      <c r="D201" s="13"/>
      <c r="E201" s="13"/>
      <c r="F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3"/>
      <c r="B202" s="13"/>
      <c r="C202" s="13"/>
      <c r="D202" s="13"/>
      <c r="E202" s="13"/>
      <c r="F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3"/>
      <c r="B203" s="13"/>
      <c r="C203" s="13"/>
      <c r="D203" s="13"/>
      <c r="E203" s="13"/>
      <c r="F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3"/>
      <c r="B204" s="13"/>
      <c r="C204" s="13"/>
      <c r="D204" s="13"/>
      <c r="E204" s="13"/>
      <c r="F204" s="1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3"/>
      <c r="B205" s="13"/>
      <c r="C205" s="13"/>
      <c r="D205" s="13"/>
      <c r="E205" s="13"/>
      <c r="F205" s="1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3"/>
      <c r="B206" s="13"/>
      <c r="C206" s="13"/>
      <c r="D206" s="13"/>
      <c r="E206" s="13"/>
      <c r="F206" s="1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3"/>
      <c r="B207" s="13"/>
      <c r="C207" s="13"/>
      <c r="D207" s="13"/>
      <c r="E207" s="13"/>
      <c r="F207" s="1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3"/>
      <c r="B208" s="13"/>
      <c r="C208" s="13"/>
      <c r="D208" s="13"/>
      <c r="E208" s="13"/>
      <c r="F208" s="1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3"/>
      <c r="B209" s="13"/>
      <c r="C209" s="13"/>
      <c r="D209" s="13"/>
      <c r="E209" s="13"/>
      <c r="F209" s="1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3"/>
      <c r="B210" s="13"/>
      <c r="C210" s="13"/>
      <c r="D210" s="13"/>
      <c r="E210" s="13"/>
      <c r="F210" s="1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3"/>
      <c r="B211" s="13"/>
      <c r="C211" s="13"/>
      <c r="D211" s="13"/>
      <c r="E211" s="13"/>
      <c r="F211" s="1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3"/>
      <c r="B212" s="13"/>
      <c r="C212" s="13"/>
      <c r="D212" s="13"/>
      <c r="E212" s="13"/>
      <c r="F212" s="1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3"/>
      <c r="B213" s="13"/>
      <c r="C213" s="13"/>
      <c r="D213" s="13"/>
      <c r="E213" s="13"/>
      <c r="F213" s="1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3"/>
      <c r="B214" s="13"/>
      <c r="C214" s="13"/>
      <c r="D214" s="13"/>
      <c r="E214" s="13"/>
      <c r="F214" s="1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3"/>
      <c r="B215" s="13"/>
      <c r="C215" s="13"/>
      <c r="D215" s="13"/>
      <c r="E215" s="13"/>
      <c r="F215" s="1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3"/>
      <c r="B216" s="13"/>
      <c r="C216" s="13"/>
      <c r="D216" s="13"/>
      <c r="E216" s="13"/>
      <c r="F216" s="1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3"/>
      <c r="B217" s="13"/>
      <c r="C217" s="13"/>
      <c r="D217" s="13"/>
      <c r="E217" s="13"/>
      <c r="F217" s="1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3"/>
      <c r="B218" s="13"/>
      <c r="C218" s="13"/>
      <c r="D218" s="13"/>
      <c r="E218" s="13"/>
      <c r="F218" s="1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3"/>
      <c r="B219" s="13"/>
      <c r="C219" s="13"/>
      <c r="D219" s="13"/>
      <c r="E219" s="13"/>
      <c r="F219" s="1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3"/>
      <c r="B220" s="13"/>
      <c r="C220" s="13"/>
      <c r="D220" s="13"/>
      <c r="E220" s="13"/>
      <c r="F220" s="1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3"/>
      <c r="B221" s="13"/>
      <c r="C221" s="13"/>
      <c r="D221" s="13"/>
      <c r="E221" s="13"/>
      <c r="F221" s="1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3"/>
      <c r="B222" s="13"/>
      <c r="C222" s="13"/>
      <c r="D222" s="13"/>
      <c r="E222" s="13"/>
      <c r="F222" s="1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3"/>
      <c r="B223" s="13"/>
      <c r="C223" s="13"/>
      <c r="D223" s="13"/>
      <c r="E223" s="13"/>
      <c r="F223" s="1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3"/>
      <c r="B224" s="13"/>
      <c r="C224" s="13"/>
      <c r="D224" s="13"/>
      <c r="E224" s="13"/>
      <c r="F224" s="1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3"/>
      <c r="B225" s="13"/>
      <c r="C225" s="13"/>
      <c r="D225" s="13"/>
      <c r="E225" s="13"/>
      <c r="F225" s="1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3"/>
      <c r="B226" s="13"/>
      <c r="C226" s="13"/>
      <c r="D226" s="13"/>
      <c r="E226" s="13"/>
      <c r="F226" s="1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3"/>
      <c r="B227" s="13"/>
      <c r="C227" s="13"/>
      <c r="D227" s="13"/>
      <c r="E227" s="13"/>
      <c r="F227" s="1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3"/>
      <c r="B228" s="13"/>
      <c r="C228" s="13"/>
      <c r="D228" s="13"/>
      <c r="E228" s="13"/>
      <c r="F228" s="1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3"/>
      <c r="B229" s="13"/>
      <c r="C229" s="13"/>
      <c r="D229" s="13"/>
      <c r="E229" s="13"/>
      <c r="F229" s="1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3"/>
      <c r="B230" s="13"/>
      <c r="C230" s="13"/>
      <c r="D230" s="13"/>
      <c r="E230" s="13"/>
      <c r="F230" s="1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3"/>
      <c r="B231" s="13"/>
      <c r="C231" s="13"/>
      <c r="D231" s="13"/>
      <c r="E231" s="13"/>
      <c r="F231" s="1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3"/>
      <c r="B232" s="13"/>
      <c r="C232" s="13"/>
      <c r="D232" s="13"/>
      <c r="E232" s="13"/>
      <c r="F232" s="1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3"/>
      <c r="B233" s="13"/>
      <c r="C233" s="13"/>
      <c r="D233" s="13"/>
      <c r="E233" s="13"/>
      <c r="F233" s="1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3"/>
      <c r="B234" s="13"/>
      <c r="C234" s="13"/>
      <c r="D234" s="13"/>
      <c r="E234" s="13"/>
      <c r="F234" s="1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3"/>
      <c r="B235" s="13"/>
      <c r="C235" s="13"/>
      <c r="D235" s="13"/>
      <c r="E235" s="13"/>
      <c r="F235" s="1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3"/>
      <c r="B236" s="13"/>
      <c r="C236" s="13"/>
      <c r="D236" s="13"/>
      <c r="E236" s="13"/>
      <c r="F236" s="1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3"/>
      <c r="B237" s="13"/>
      <c r="C237" s="13"/>
      <c r="D237" s="13"/>
      <c r="E237" s="13"/>
      <c r="F237" s="1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3"/>
      <c r="B238" s="13"/>
      <c r="C238" s="13"/>
      <c r="D238" s="13"/>
      <c r="E238" s="13"/>
      <c r="F238" s="1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3"/>
      <c r="B239" s="13"/>
      <c r="C239" s="13"/>
      <c r="D239" s="13"/>
      <c r="E239" s="13"/>
      <c r="F239" s="1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3"/>
      <c r="B240" s="13"/>
      <c r="C240" s="13"/>
      <c r="D240" s="13"/>
      <c r="E240" s="13"/>
      <c r="F240" s="1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7">
    <mergeCell ref="C1:E1"/>
    <mergeCell ref="C2:E2"/>
    <mergeCell ref="C3:E3"/>
    <mergeCell ref="C4:E4"/>
    <mergeCell ref="C5:E5"/>
    <mergeCell ref="C6:E6"/>
    <mergeCell ref="A7:F7"/>
  </mergeCells>
  <dataValidations>
    <dataValidation type="list" allowBlank="1" showErrorMessage="1" sqref="C9:D26 C28:D33 C35:D36 C38:D39 C41:D46 C48:D52 C54:D57">
      <formula1>"0,1,2,3"</formula1>
    </dataValidation>
  </dataValidations>
  <hyperlinks>
    <hyperlink r:id="rId1" ref="C4"/>
    <hyperlink r:id="rId2" ref="C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57.5"/>
    <col customWidth="1" min="3" max="3" width="14.5"/>
    <col customWidth="1" min="4" max="4" width="14.88"/>
    <col customWidth="1" min="5" max="5" width="39.5"/>
    <col customWidth="1" min="6" max="6" width="37.75"/>
  </cols>
  <sheetData>
    <row r="1" ht="15.75" customHeight="1">
      <c r="A1" s="3"/>
      <c r="B1" s="4" t="s">
        <v>1</v>
      </c>
      <c r="C1" s="25" t="s">
        <v>65</v>
      </c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 t="s">
        <v>2</v>
      </c>
      <c r="C2" s="25" t="s">
        <v>86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3</v>
      </c>
      <c r="C3" s="25" t="s">
        <v>87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4" t="s">
        <v>4</v>
      </c>
      <c r="C4" s="26" t="s">
        <v>88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4" t="s">
        <v>5</v>
      </c>
      <c r="C5" s="26" t="s">
        <v>89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4" t="s">
        <v>6</v>
      </c>
      <c r="C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7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7"/>
      <c r="B8" s="8" t="s">
        <v>90</v>
      </c>
      <c r="C8" s="9" t="s">
        <v>9</v>
      </c>
      <c r="D8" s="9" t="s">
        <v>10</v>
      </c>
      <c r="E8" s="9" t="s">
        <v>11</v>
      </c>
      <c r="F8" s="9" t="s">
        <v>12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">
        <v>1.0</v>
      </c>
      <c r="B9" s="11" t="s">
        <v>13</v>
      </c>
      <c r="C9" s="27">
        <v>3.0</v>
      </c>
      <c r="D9" s="12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>
        <v>2.0</v>
      </c>
      <c r="B10" s="11" t="s">
        <v>14</v>
      </c>
      <c r="C10" s="27">
        <v>3.0</v>
      </c>
      <c r="D10" s="12"/>
      <c r="E10" s="13"/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0">
        <v>3.0</v>
      </c>
      <c r="B11" s="11" t="s">
        <v>15</v>
      </c>
      <c r="C11" s="27">
        <v>2.0</v>
      </c>
      <c r="D11" s="12"/>
      <c r="E11" s="28" t="s">
        <v>91</v>
      </c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>
        <v>4.0</v>
      </c>
      <c r="B12" s="11" t="s">
        <v>16</v>
      </c>
      <c r="C12" s="27">
        <v>3.0</v>
      </c>
      <c r="D12" s="12"/>
      <c r="E12" s="28" t="s">
        <v>92</v>
      </c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">
        <v>5.0</v>
      </c>
      <c r="B13" s="11" t="s">
        <v>17</v>
      </c>
      <c r="C13" s="27">
        <v>2.0</v>
      </c>
      <c r="D13" s="12"/>
      <c r="E13" s="28" t="s">
        <v>93</v>
      </c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0">
        <v>6.0</v>
      </c>
      <c r="B14" s="11" t="s">
        <v>18</v>
      </c>
      <c r="C14" s="27">
        <v>3.0</v>
      </c>
      <c r="D14" s="12"/>
      <c r="E14" s="28" t="s">
        <v>94</v>
      </c>
      <c r="F14" s="1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">
        <v>7.0</v>
      </c>
      <c r="B15" s="11" t="s">
        <v>19</v>
      </c>
      <c r="C15" s="27">
        <v>3.0</v>
      </c>
      <c r="D15" s="12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">
        <v>8.0</v>
      </c>
      <c r="B16" s="11" t="s">
        <v>20</v>
      </c>
      <c r="C16" s="27">
        <v>3.0</v>
      </c>
      <c r="D16" s="12"/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">
        <v>9.0</v>
      </c>
      <c r="B17" s="11" t="s">
        <v>21</v>
      </c>
      <c r="C17" s="27">
        <v>3.0</v>
      </c>
      <c r="D17" s="12"/>
      <c r="E17" s="13"/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">
        <v>10.0</v>
      </c>
      <c r="B18" s="11" t="s">
        <v>22</v>
      </c>
      <c r="C18" s="27">
        <v>3.0</v>
      </c>
      <c r="D18" s="12"/>
      <c r="E18" s="13"/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0">
        <v>11.0</v>
      </c>
      <c r="B19" s="11" t="s">
        <v>23</v>
      </c>
      <c r="C19" s="27">
        <v>3.0</v>
      </c>
      <c r="D19" s="12"/>
      <c r="E19" s="13"/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">
        <v>12.0</v>
      </c>
      <c r="B20" s="11" t="s">
        <v>24</v>
      </c>
      <c r="C20" s="27">
        <v>3.0</v>
      </c>
      <c r="D20" s="12"/>
      <c r="E20" s="13"/>
      <c r="F20" s="1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13.0</v>
      </c>
      <c r="B21" s="11" t="s">
        <v>25</v>
      </c>
      <c r="C21" s="27">
        <v>3.0</v>
      </c>
      <c r="D21" s="12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14.0</v>
      </c>
      <c r="B22" s="11" t="s">
        <v>26</v>
      </c>
      <c r="C22" s="27">
        <v>3.0</v>
      </c>
      <c r="D22" s="12"/>
      <c r="E22" s="13"/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15.0</v>
      </c>
      <c r="B23" s="11" t="s">
        <v>27</v>
      </c>
      <c r="C23" s="27">
        <v>3.0</v>
      </c>
      <c r="D23" s="12"/>
      <c r="E23" s="28" t="s">
        <v>76</v>
      </c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16.0</v>
      </c>
      <c r="B24" s="11" t="s">
        <v>28</v>
      </c>
      <c r="C24" s="27">
        <v>3.0</v>
      </c>
      <c r="D24" s="12"/>
      <c r="E24" s="13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17.0</v>
      </c>
      <c r="B25" s="11" t="s">
        <v>29</v>
      </c>
      <c r="C25" s="27">
        <v>2.0</v>
      </c>
      <c r="D25" s="12"/>
      <c r="E25" s="28" t="s">
        <v>95</v>
      </c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18.0</v>
      </c>
      <c r="B26" s="11" t="s">
        <v>30</v>
      </c>
      <c r="C26" s="27">
        <v>2.0</v>
      </c>
      <c r="D26" s="12"/>
      <c r="E26" s="28" t="s">
        <v>96</v>
      </c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7"/>
      <c r="B27" s="14" t="s">
        <v>31</v>
      </c>
      <c r="C27" s="15" t="s">
        <v>32</v>
      </c>
      <c r="D27" s="15" t="s">
        <v>32</v>
      </c>
      <c r="E27" s="15" t="s">
        <v>33</v>
      </c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7">
        <v>19.0</v>
      </c>
      <c r="B28" s="11" t="s">
        <v>34</v>
      </c>
      <c r="C28" s="27">
        <v>3.0</v>
      </c>
      <c r="D28" s="12"/>
      <c r="E28" s="27" t="s">
        <v>78</v>
      </c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>
        <v>20.0</v>
      </c>
      <c r="B29" s="11" t="s">
        <v>35</v>
      </c>
      <c r="C29" s="27">
        <v>2.0</v>
      </c>
      <c r="D29" s="12"/>
      <c r="E29" s="12"/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>
        <v>21.0</v>
      </c>
      <c r="B30" s="11" t="s">
        <v>36</v>
      </c>
      <c r="C30" s="12"/>
      <c r="D30" s="12"/>
      <c r="E30" s="12"/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>
        <v>22.0</v>
      </c>
      <c r="B31" s="11" t="s">
        <v>37</v>
      </c>
      <c r="C31" s="27">
        <v>2.0</v>
      </c>
      <c r="D31" s="12"/>
      <c r="E31" s="27" t="s">
        <v>97</v>
      </c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>
        <v>23.0</v>
      </c>
      <c r="B32" s="11" t="s">
        <v>38</v>
      </c>
      <c r="C32" s="27">
        <v>3.0</v>
      </c>
      <c r="D32" s="12"/>
      <c r="E32" s="12"/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7">
        <v>24.0</v>
      </c>
      <c r="B33" s="11" t="s">
        <v>39</v>
      </c>
      <c r="C33" s="27">
        <v>3.0</v>
      </c>
      <c r="D33" s="12"/>
      <c r="E33" s="12"/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8"/>
      <c r="B34" s="8" t="s">
        <v>40</v>
      </c>
      <c r="C34" s="15" t="s">
        <v>32</v>
      </c>
      <c r="D34" s="15" t="s">
        <v>32</v>
      </c>
      <c r="E34" s="15" t="s">
        <v>33</v>
      </c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17">
        <v>25.0</v>
      </c>
      <c r="B35" s="11" t="s">
        <v>41</v>
      </c>
      <c r="C35" s="27">
        <v>3.0</v>
      </c>
      <c r="D35" s="12"/>
      <c r="E35" s="12"/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>
        <v>26.0</v>
      </c>
      <c r="B36" s="11" t="s">
        <v>42</v>
      </c>
      <c r="C36" s="27">
        <v>2.0</v>
      </c>
      <c r="D36" s="12"/>
      <c r="E36" s="27" t="s">
        <v>98</v>
      </c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7"/>
      <c r="B37" s="8" t="s">
        <v>43</v>
      </c>
      <c r="C37" s="15" t="s">
        <v>32</v>
      </c>
      <c r="D37" s="15" t="s">
        <v>32</v>
      </c>
      <c r="E37" s="15" t="s">
        <v>33</v>
      </c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7">
        <v>27.0</v>
      </c>
      <c r="B38" s="11" t="s">
        <v>44</v>
      </c>
      <c r="C38" s="27">
        <v>3.0</v>
      </c>
      <c r="D38" s="12"/>
      <c r="E38" s="12"/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7">
        <v>28.0</v>
      </c>
      <c r="B39" s="11" t="s">
        <v>45</v>
      </c>
      <c r="C39" s="27">
        <v>3.0</v>
      </c>
      <c r="D39" s="12"/>
      <c r="E39" s="27" t="s">
        <v>82</v>
      </c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7"/>
      <c r="B40" s="14" t="s">
        <v>46</v>
      </c>
      <c r="C40" s="15" t="s">
        <v>32</v>
      </c>
      <c r="D40" s="15" t="s">
        <v>32</v>
      </c>
      <c r="E40" s="15" t="s">
        <v>33</v>
      </c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7">
        <v>29.0</v>
      </c>
      <c r="B41" s="21" t="s">
        <v>47</v>
      </c>
      <c r="C41" s="27">
        <v>3.0</v>
      </c>
      <c r="D41" s="12"/>
      <c r="E41" s="12"/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7">
        <v>30.0</v>
      </c>
      <c r="B42" s="21" t="s">
        <v>48</v>
      </c>
      <c r="C42" s="27">
        <v>2.0</v>
      </c>
      <c r="D42" s="12"/>
      <c r="E42" s="27" t="s">
        <v>99</v>
      </c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7">
        <v>31.0</v>
      </c>
      <c r="B43" s="21" t="s">
        <v>49</v>
      </c>
      <c r="C43" s="27">
        <v>2.0</v>
      </c>
      <c r="D43" s="12"/>
      <c r="E43" s="27" t="s">
        <v>100</v>
      </c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7">
        <v>32.0</v>
      </c>
      <c r="B44" s="22" t="s">
        <v>50</v>
      </c>
      <c r="C44" s="27">
        <v>0.0</v>
      </c>
      <c r="D44" s="12"/>
      <c r="E44" s="12"/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7">
        <v>33.0</v>
      </c>
      <c r="B45" s="21" t="s">
        <v>51</v>
      </c>
      <c r="C45" s="27">
        <v>2.0</v>
      </c>
      <c r="D45" s="12"/>
      <c r="E45" s="27" t="s">
        <v>101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>
        <v>34.0</v>
      </c>
      <c r="B46" s="21" t="s">
        <v>52</v>
      </c>
      <c r="C46" s="27">
        <v>3.0</v>
      </c>
      <c r="D46" s="12"/>
      <c r="E46" s="12"/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7"/>
      <c r="B47" s="14" t="s">
        <v>53</v>
      </c>
      <c r="C47" s="15" t="s">
        <v>32</v>
      </c>
      <c r="D47" s="15" t="s">
        <v>32</v>
      </c>
      <c r="E47" s="15" t="s">
        <v>33</v>
      </c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7">
        <v>35.0</v>
      </c>
      <c r="B48" s="21" t="s">
        <v>54</v>
      </c>
      <c r="C48" s="27">
        <v>1.0</v>
      </c>
      <c r="D48" s="12"/>
      <c r="E48" s="27" t="s">
        <v>102</v>
      </c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7">
        <v>36.0</v>
      </c>
      <c r="B49" s="21" t="s">
        <v>55</v>
      </c>
      <c r="C49" s="27">
        <v>1.0</v>
      </c>
      <c r="D49" s="12"/>
      <c r="E49" s="12"/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7">
        <v>37.0</v>
      </c>
      <c r="B50" s="21" t="s">
        <v>56</v>
      </c>
      <c r="C50" s="27">
        <v>1.0</v>
      </c>
      <c r="D50" s="12"/>
      <c r="E50" s="12"/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7">
        <v>38.0</v>
      </c>
      <c r="B51" s="21" t="s">
        <v>57</v>
      </c>
      <c r="C51" s="27">
        <v>3.0</v>
      </c>
      <c r="D51" s="12"/>
      <c r="E51" s="12"/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7">
        <v>39.0</v>
      </c>
      <c r="B52" s="22" t="s">
        <v>58</v>
      </c>
      <c r="C52" s="27">
        <v>1.0</v>
      </c>
      <c r="D52" s="12"/>
      <c r="E52" s="12"/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7"/>
      <c r="B53" s="14" t="s">
        <v>59</v>
      </c>
      <c r="C53" s="15" t="s">
        <v>32</v>
      </c>
      <c r="D53" s="15" t="s">
        <v>32</v>
      </c>
      <c r="E53" s="15" t="s">
        <v>33</v>
      </c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7">
        <v>40.0</v>
      </c>
      <c r="B54" s="22" t="s">
        <v>60</v>
      </c>
      <c r="C54" s="27">
        <v>3.0</v>
      </c>
      <c r="D54" s="12"/>
      <c r="E54" s="27" t="s">
        <v>103</v>
      </c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7">
        <v>41.0</v>
      </c>
      <c r="B55" s="21" t="s">
        <v>61</v>
      </c>
      <c r="C55" s="27">
        <v>3.0</v>
      </c>
      <c r="D55" s="12"/>
      <c r="E55" s="12"/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">
        <v>42.0</v>
      </c>
      <c r="B56" s="22" t="s">
        <v>62</v>
      </c>
      <c r="C56" s="27">
        <v>3.0</v>
      </c>
      <c r="D56" s="12"/>
      <c r="E56" s="12"/>
      <c r="F56" s="1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7">
        <v>43.0</v>
      </c>
      <c r="B57" s="21" t="s">
        <v>63</v>
      </c>
      <c r="C57" s="27">
        <v>3.0</v>
      </c>
      <c r="D57" s="12"/>
      <c r="E57" s="12"/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/>
      <c r="B58" s="24" t="s">
        <v>64</v>
      </c>
      <c r="C58" s="13">
        <f t="shared" ref="C58:D58" si="1">SUM(C9,C10,C11,C12,C13,C14,C15,C16,C17,C18,C19,C20,C21,C22,C23,C24,C25,C26,C28,C29,C30,C31,C32,C33,C35,C36,C38,C39,C41,C42,C43,C44,C45,C46,C48,C49,C50,C51,C52,C54,C55,C56,C57)</f>
        <v>105</v>
      </c>
      <c r="D58" s="13">
        <f t="shared" si="1"/>
        <v>0</v>
      </c>
      <c r="E58" s="13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/>
      <c r="B59" s="13"/>
      <c r="C59" s="13"/>
      <c r="D59" s="13"/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/>
      <c r="B60" s="13"/>
      <c r="C60" s="13"/>
      <c r="D60" s="13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/>
      <c r="B61" s="13"/>
      <c r="C61" s="13"/>
      <c r="D61" s="13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3"/>
      <c r="B62" s="13"/>
      <c r="C62" s="13"/>
      <c r="D62" s="13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/>
      <c r="B63" s="13"/>
      <c r="C63" s="13"/>
      <c r="D63" s="13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/>
      <c r="B64" s="13"/>
      <c r="C64" s="13"/>
      <c r="D64" s="13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/>
      <c r="B65" s="13"/>
      <c r="C65" s="13"/>
      <c r="D65" s="13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3"/>
      <c r="B66" s="13"/>
      <c r="C66" s="13"/>
      <c r="D66" s="13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3"/>
      <c r="B67" s="13"/>
      <c r="C67" s="13"/>
      <c r="D67" s="13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/>
      <c r="B68" s="13"/>
      <c r="C68" s="13"/>
      <c r="D68" s="13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/>
      <c r="B69" s="13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/>
      <c r="B70" s="13"/>
      <c r="C70" s="13"/>
      <c r="D70" s="13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/>
      <c r="B71" s="13"/>
      <c r="C71" s="13"/>
      <c r="D71" s="13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/>
      <c r="B72" s="13"/>
      <c r="C72" s="13"/>
      <c r="D72" s="13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/>
      <c r="B73" s="13"/>
      <c r="C73" s="13"/>
      <c r="D73" s="13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/>
      <c r="B74" s="13"/>
      <c r="C74" s="13"/>
      <c r="D74" s="13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/>
      <c r="B75" s="13"/>
      <c r="C75" s="13"/>
      <c r="D75" s="13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/>
      <c r="B76" s="13"/>
      <c r="C76" s="13"/>
      <c r="D76" s="13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/>
      <c r="B77" s="13"/>
      <c r="C77" s="13"/>
      <c r="D77" s="13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/>
      <c r="B78" s="13"/>
      <c r="C78" s="13"/>
      <c r="D78" s="13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/>
      <c r="B79" s="13"/>
      <c r="C79" s="13"/>
      <c r="D79" s="13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/>
      <c r="B80" s="13"/>
      <c r="C80" s="13"/>
      <c r="D80" s="13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/>
      <c r="B81" s="13"/>
      <c r="C81" s="13"/>
      <c r="D81" s="13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/>
      <c r="B82" s="13"/>
      <c r="C82" s="13"/>
      <c r="D82" s="13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/>
      <c r="B83" s="13"/>
      <c r="C83" s="13"/>
      <c r="D83" s="13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/>
      <c r="B84" s="13"/>
      <c r="C84" s="13"/>
      <c r="D84" s="13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/>
      <c r="B85" s="13"/>
      <c r="C85" s="13"/>
      <c r="D85" s="13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/>
      <c r="B86" s="13"/>
      <c r="C86" s="13"/>
      <c r="D86" s="13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/>
      <c r="B87" s="13"/>
      <c r="C87" s="13"/>
      <c r="D87" s="13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/>
      <c r="B88" s="13"/>
      <c r="C88" s="13"/>
      <c r="D88" s="13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/>
      <c r="B89" s="13"/>
      <c r="C89" s="13"/>
      <c r="D89" s="13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/>
      <c r="B90" s="13"/>
      <c r="C90" s="13"/>
      <c r="D90" s="13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/>
      <c r="B91" s="13"/>
      <c r="C91" s="13"/>
      <c r="D91" s="13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/>
      <c r="B92" s="13"/>
      <c r="C92" s="13"/>
      <c r="D92" s="13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/>
      <c r="B93" s="13"/>
      <c r="C93" s="13"/>
      <c r="D93" s="13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/>
      <c r="B94" s="13"/>
      <c r="C94" s="13"/>
      <c r="D94" s="13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/>
      <c r="B95" s="13"/>
      <c r="C95" s="13"/>
      <c r="D95" s="13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/>
      <c r="B96" s="13"/>
      <c r="C96" s="13"/>
      <c r="D96" s="13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/>
      <c r="B97" s="13"/>
      <c r="C97" s="13"/>
      <c r="D97" s="13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/>
      <c r="B98" s="13"/>
      <c r="C98" s="13"/>
      <c r="D98" s="13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/>
      <c r="B99" s="13"/>
      <c r="C99" s="13"/>
      <c r="D99" s="13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/>
      <c r="B100" s="13"/>
      <c r="C100" s="13"/>
      <c r="D100" s="13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/>
      <c r="B101" s="13"/>
      <c r="C101" s="13"/>
      <c r="D101" s="13"/>
      <c r="E101" s="13"/>
      <c r="F101" s="1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/>
      <c r="B102" s="13"/>
      <c r="C102" s="13"/>
      <c r="D102" s="13"/>
      <c r="E102" s="13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/>
      <c r="B103" s="13"/>
      <c r="C103" s="13"/>
      <c r="D103" s="13"/>
      <c r="E103" s="13"/>
      <c r="F103" s="1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/>
      <c r="B104" s="13"/>
      <c r="C104" s="13"/>
      <c r="D104" s="13"/>
      <c r="E104" s="13"/>
      <c r="F104" s="1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/>
      <c r="B105" s="13"/>
      <c r="C105" s="13"/>
      <c r="D105" s="13"/>
      <c r="E105" s="13"/>
      <c r="F105" s="1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/>
      <c r="B106" s="13"/>
      <c r="C106" s="13"/>
      <c r="D106" s="13"/>
      <c r="E106" s="13"/>
      <c r="F106" s="1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3"/>
      <c r="B107" s="13"/>
      <c r="C107" s="13"/>
      <c r="D107" s="13"/>
      <c r="E107" s="13"/>
      <c r="F107" s="1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3"/>
      <c r="B108" s="13"/>
      <c r="C108" s="13"/>
      <c r="D108" s="13"/>
      <c r="E108" s="13"/>
      <c r="F108" s="1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3"/>
      <c r="B109" s="13"/>
      <c r="C109" s="13"/>
      <c r="D109" s="13"/>
      <c r="E109" s="13"/>
      <c r="F109" s="1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3"/>
      <c r="B110" s="13"/>
      <c r="C110" s="13"/>
      <c r="D110" s="13"/>
      <c r="E110" s="13"/>
      <c r="F110" s="1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3"/>
      <c r="B111" s="13"/>
      <c r="C111" s="13"/>
      <c r="D111" s="13"/>
      <c r="E111" s="13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3"/>
      <c r="B112" s="13"/>
      <c r="C112" s="13"/>
      <c r="D112" s="13"/>
      <c r="E112" s="13"/>
      <c r="F112" s="1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3"/>
      <c r="B113" s="13"/>
      <c r="C113" s="13"/>
      <c r="D113" s="13"/>
      <c r="E113" s="13"/>
      <c r="F113" s="1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3"/>
      <c r="B114" s="13"/>
      <c r="C114" s="13"/>
      <c r="D114" s="13"/>
      <c r="E114" s="13"/>
      <c r="F114" s="1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3"/>
      <c r="B115" s="13"/>
      <c r="C115" s="13"/>
      <c r="D115" s="13"/>
      <c r="E115" s="13"/>
      <c r="F115" s="1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3"/>
      <c r="B116" s="13"/>
      <c r="C116" s="13"/>
      <c r="D116" s="13"/>
      <c r="E116" s="13"/>
      <c r="F116" s="1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3"/>
      <c r="B117" s="13"/>
      <c r="C117" s="13"/>
      <c r="D117" s="13"/>
      <c r="E117" s="13"/>
      <c r="F117" s="1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3"/>
      <c r="B118" s="13"/>
      <c r="C118" s="13"/>
      <c r="D118" s="13"/>
      <c r="E118" s="13"/>
      <c r="F118" s="1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3"/>
      <c r="B119" s="13"/>
      <c r="C119" s="13"/>
      <c r="D119" s="13"/>
      <c r="E119" s="13"/>
      <c r="F119" s="1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3"/>
      <c r="B120" s="13"/>
      <c r="C120" s="13"/>
      <c r="D120" s="13"/>
      <c r="E120" s="13"/>
      <c r="F120" s="1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3"/>
      <c r="B121" s="13"/>
      <c r="C121" s="13"/>
      <c r="D121" s="13"/>
      <c r="E121" s="13"/>
      <c r="F121" s="1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3"/>
      <c r="B122" s="13"/>
      <c r="C122" s="13"/>
      <c r="D122" s="13"/>
      <c r="E122" s="13"/>
      <c r="F122" s="1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3"/>
      <c r="B123" s="13"/>
      <c r="C123" s="13"/>
      <c r="D123" s="13"/>
      <c r="E123" s="13"/>
      <c r="F123" s="1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3"/>
      <c r="B124" s="13"/>
      <c r="C124" s="13"/>
      <c r="D124" s="13"/>
      <c r="E124" s="13"/>
      <c r="F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3"/>
      <c r="B125" s="13"/>
      <c r="C125" s="13"/>
      <c r="D125" s="13"/>
      <c r="E125" s="13"/>
      <c r="F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3"/>
      <c r="B126" s="13"/>
      <c r="C126" s="13"/>
      <c r="D126" s="13"/>
      <c r="E126" s="13"/>
      <c r="F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3"/>
      <c r="B127" s="13"/>
      <c r="C127" s="13"/>
      <c r="D127" s="13"/>
      <c r="E127" s="13"/>
      <c r="F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3"/>
      <c r="B128" s="13"/>
      <c r="C128" s="13"/>
      <c r="D128" s="13"/>
      <c r="E128" s="13"/>
      <c r="F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3"/>
      <c r="B129" s="13"/>
      <c r="C129" s="13"/>
      <c r="D129" s="13"/>
      <c r="E129" s="13"/>
      <c r="F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3"/>
      <c r="B130" s="13"/>
      <c r="C130" s="13"/>
      <c r="D130" s="13"/>
      <c r="E130" s="13"/>
      <c r="F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3"/>
      <c r="B131" s="13"/>
      <c r="C131" s="13"/>
      <c r="D131" s="13"/>
      <c r="E131" s="13"/>
      <c r="F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3"/>
      <c r="B132" s="13"/>
      <c r="C132" s="13"/>
      <c r="D132" s="13"/>
      <c r="E132" s="13"/>
      <c r="F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3"/>
      <c r="B133" s="13"/>
      <c r="C133" s="13"/>
      <c r="D133" s="13"/>
      <c r="E133" s="13"/>
      <c r="F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3"/>
      <c r="B134" s="13"/>
      <c r="C134" s="13"/>
      <c r="D134" s="13"/>
      <c r="E134" s="13"/>
      <c r="F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3"/>
      <c r="B135" s="13"/>
      <c r="C135" s="13"/>
      <c r="D135" s="13"/>
      <c r="E135" s="13"/>
      <c r="F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3"/>
      <c r="B136" s="13"/>
      <c r="C136" s="13"/>
      <c r="D136" s="13"/>
      <c r="E136" s="13"/>
      <c r="F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3"/>
      <c r="B137" s="13"/>
      <c r="C137" s="13"/>
      <c r="D137" s="13"/>
      <c r="E137" s="13"/>
      <c r="F137" s="1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3"/>
      <c r="B138" s="13"/>
      <c r="C138" s="13"/>
      <c r="D138" s="13"/>
      <c r="E138" s="13"/>
      <c r="F138" s="1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3"/>
      <c r="B139" s="13"/>
      <c r="C139" s="13"/>
      <c r="D139" s="13"/>
      <c r="E139" s="13"/>
      <c r="F139" s="1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3"/>
      <c r="B140" s="13"/>
      <c r="C140" s="13"/>
      <c r="D140" s="13"/>
      <c r="E140" s="13"/>
      <c r="F140" s="1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3"/>
      <c r="B141" s="13"/>
      <c r="C141" s="13"/>
      <c r="D141" s="13"/>
      <c r="E141" s="13"/>
      <c r="F141" s="1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3"/>
      <c r="B142" s="13"/>
      <c r="C142" s="13"/>
      <c r="D142" s="13"/>
      <c r="E142" s="13"/>
      <c r="F142" s="1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3"/>
      <c r="B143" s="13"/>
      <c r="C143" s="13"/>
      <c r="D143" s="13"/>
      <c r="E143" s="13"/>
      <c r="F143" s="1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3"/>
      <c r="B144" s="13"/>
      <c r="C144" s="13"/>
      <c r="D144" s="13"/>
      <c r="E144" s="13"/>
      <c r="F144" s="1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3"/>
      <c r="B145" s="13"/>
      <c r="C145" s="13"/>
      <c r="D145" s="13"/>
      <c r="E145" s="13"/>
      <c r="F145" s="1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3"/>
      <c r="B146" s="13"/>
      <c r="C146" s="13"/>
      <c r="D146" s="13"/>
      <c r="E146" s="13"/>
      <c r="F146" s="1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3"/>
      <c r="B147" s="13"/>
      <c r="C147" s="13"/>
      <c r="D147" s="13"/>
      <c r="E147" s="13"/>
      <c r="F147" s="1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3"/>
      <c r="B148" s="13"/>
      <c r="C148" s="13"/>
      <c r="D148" s="13"/>
      <c r="E148" s="13"/>
      <c r="F148" s="1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3"/>
      <c r="B149" s="13"/>
      <c r="C149" s="13"/>
      <c r="D149" s="13"/>
      <c r="E149" s="13"/>
      <c r="F149" s="1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3"/>
      <c r="B150" s="13"/>
      <c r="C150" s="13"/>
      <c r="D150" s="13"/>
      <c r="E150" s="13"/>
      <c r="F150" s="1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3"/>
      <c r="B151" s="13"/>
      <c r="C151" s="13"/>
      <c r="D151" s="13"/>
      <c r="E151" s="13"/>
      <c r="F151" s="1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3"/>
      <c r="B152" s="13"/>
      <c r="C152" s="13"/>
      <c r="D152" s="13"/>
      <c r="E152" s="13"/>
      <c r="F152" s="1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3"/>
      <c r="B153" s="13"/>
      <c r="C153" s="13"/>
      <c r="D153" s="13"/>
      <c r="E153" s="13"/>
      <c r="F153" s="1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3"/>
      <c r="B154" s="13"/>
      <c r="C154" s="13"/>
      <c r="D154" s="13"/>
      <c r="E154" s="13"/>
      <c r="F154" s="1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3"/>
      <c r="B155" s="13"/>
      <c r="C155" s="13"/>
      <c r="D155" s="13"/>
      <c r="E155" s="13"/>
      <c r="F155" s="1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3"/>
      <c r="B156" s="13"/>
      <c r="C156" s="13"/>
      <c r="D156" s="13"/>
      <c r="E156" s="13"/>
      <c r="F156" s="1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3"/>
      <c r="B157" s="13"/>
      <c r="C157" s="13"/>
      <c r="D157" s="13"/>
      <c r="E157" s="13"/>
      <c r="F157" s="1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3"/>
      <c r="B158" s="13"/>
      <c r="C158" s="13"/>
      <c r="D158" s="13"/>
      <c r="E158" s="13"/>
      <c r="F158" s="1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3"/>
      <c r="B159" s="13"/>
      <c r="C159" s="13"/>
      <c r="D159" s="13"/>
      <c r="E159" s="13"/>
      <c r="F159" s="1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3"/>
      <c r="B160" s="13"/>
      <c r="C160" s="13"/>
      <c r="D160" s="13"/>
      <c r="E160" s="13"/>
      <c r="F160" s="1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3"/>
      <c r="B161" s="13"/>
      <c r="C161" s="13"/>
      <c r="D161" s="13"/>
      <c r="E161" s="13"/>
      <c r="F161" s="1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3"/>
      <c r="B162" s="13"/>
      <c r="C162" s="13"/>
      <c r="D162" s="13"/>
      <c r="E162" s="13"/>
      <c r="F162" s="1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3"/>
      <c r="B163" s="13"/>
      <c r="C163" s="13"/>
      <c r="D163" s="13"/>
      <c r="E163" s="13"/>
      <c r="F163" s="1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3"/>
      <c r="B164" s="13"/>
      <c r="C164" s="13"/>
      <c r="D164" s="13"/>
      <c r="E164" s="13"/>
      <c r="F164" s="1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3"/>
      <c r="B165" s="13"/>
      <c r="C165" s="13"/>
      <c r="D165" s="13"/>
      <c r="E165" s="13"/>
      <c r="F165" s="1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3"/>
      <c r="B166" s="13"/>
      <c r="C166" s="13"/>
      <c r="D166" s="13"/>
      <c r="E166" s="13"/>
      <c r="F166" s="1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3"/>
      <c r="B167" s="13"/>
      <c r="C167" s="13"/>
      <c r="D167" s="13"/>
      <c r="E167" s="13"/>
      <c r="F167" s="1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3"/>
      <c r="B168" s="13"/>
      <c r="C168" s="13"/>
      <c r="D168" s="13"/>
      <c r="E168" s="13"/>
      <c r="F168" s="1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3"/>
      <c r="B169" s="13"/>
      <c r="C169" s="13"/>
      <c r="D169" s="13"/>
      <c r="E169" s="13"/>
      <c r="F169" s="1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3"/>
      <c r="B170" s="13"/>
      <c r="C170" s="13"/>
      <c r="D170" s="13"/>
      <c r="E170" s="13"/>
      <c r="F170" s="1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3"/>
      <c r="B171" s="13"/>
      <c r="C171" s="13"/>
      <c r="D171" s="13"/>
      <c r="E171" s="13"/>
      <c r="F171" s="1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3"/>
      <c r="B172" s="13"/>
      <c r="C172" s="13"/>
      <c r="D172" s="13"/>
      <c r="E172" s="13"/>
      <c r="F172" s="1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3"/>
      <c r="B173" s="13"/>
      <c r="C173" s="13"/>
      <c r="D173" s="13"/>
      <c r="E173" s="13"/>
      <c r="F173" s="1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3"/>
      <c r="B174" s="13"/>
      <c r="C174" s="13"/>
      <c r="D174" s="13"/>
      <c r="E174" s="13"/>
      <c r="F174" s="1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3"/>
      <c r="B175" s="13"/>
      <c r="C175" s="13"/>
      <c r="D175" s="13"/>
      <c r="E175" s="13"/>
      <c r="F175" s="1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3"/>
      <c r="B176" s="13"/>
      <c r="C176" s="13"/>
      <c r="D176" s="13"/>
      <c r="E176" s="13"/>
      <c r="F176" s="1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3"/>
      <c r="B177" s="13"/>
      <c r="C177" s="13"/>
      <c r="D177" s="13"/>
      <c r="E177" s="13"/>
      <c r="F177" s="1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3"/>
      <c r="B178" s="13"/>
      <c r="C178" s="13"/>
      <c r="D178" s="13"/>
      <c r="E178" s="13"/>
      <c r="F178" s="1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3"/>
      <c r="B179" s="13"/>
      <c r="C179" s="13"/>
      <c r="D179" s="13"/>
      <c r="E179" s="13"/>
      <c r="F179" s="1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3"/>
      <c r="B180" s="13"/>
      <c r="C180" s="13"/>
      <c r="D180" s="13"/>
      <c r="E180" s="13"/>
      <c r="F180" s="1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3"/>
      <c r="B181" s="13"/>
      <c r="C181" s="13"/>
      <c r="D181" s="13"/>
      <c r="E181" s="13"/>
      <c r="F181" s="1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3"/>
      <c r="B182" s="13"/>
      <c r="C182" s="13"/>
      <c r="D182" s="13"/>
      <c r="E182" s="13"/>
      <c r="F182" s="1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3"/>
      <c r="B183" s="13"/>
      <c r="C183" s="13"/>
      <c r="D183" s="13"/>
      <c r="E183" s="13"/>
      <c r="F183" s="1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3"/>
      <c r="B184" s="13"/>
      <c r="C184" s="13"/>
      <c r="D184" s="13"/>
      <c r="E184" s="13"/>
      <c r="F184" s="1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3"/>
      <c r="B185" s="13"/>
      <c r="C185" s="13"/>
      <c r="D185" s="13"/>
      <c r="E185" s="13"/>
      <c r="F185" s="1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3"/>
      <c r="B186" s="13"/>
      <c r="C186" s="13"/>
      <c r="D186" s="13"/>
      <c r="E186" s="13"/>
      <c r="F186" s="1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3"/>
      <c r="B187" s="13"/>
      <c r="C187" s="13"/>
      <c r="D187" s="13"/>
      <c r="E187" s="13"/>
      <c r="F187" s="1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3"/>
      <c r="B188" s="13"/>
      <c r="C188" s="13"/>
      <c r="D188" s="13"/>
      <c r="E188" s="13"/>
      <c r="F188" s="1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3"/>
      <c r="B189" s="13"/>
      <c r="C189" s="13"/>
      <c r="D189" s="13"/>
      <c r="E189" s="13"/>
      <c r="F189" s="1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3"/>
      <c r="B190" s="13"/>
      <c r="C190" s="13"/>
      <c r="D190" s="13"/>
      <c r="E190" s="13"/>
      <c r="F190" s="1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3"/>
      <c r="B191" s="13"/>
      <c r="C191" s="13"/>
      <c r="D191" s="13"/>
      <c r="E191" s="13"/>
      <c r="F191" s="1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3"/>
      <c r="B192" s="13"/>
      <c r="C192" s="13"/>
      <c r="D192" s="13"/>
      <c r="E192" s="13"/>
      <c r="F192" s="1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3"/>
      <c r="B193" s="13"/>
      <c r="C193" s="13"/>
      <c r="D193" s="13"/>
      <c r="E193" s="13"/>
      <c r="F193" s="1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3"/>
      <c r="B194" s="13"/>
      <c r="C194" s="13"/>
      <c r="D194" s="13"/>
      <c r="E194" s="13"/>
      <c r="F194" s="1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3"/>
      <c r="B195" s="13"/>
      <c r="C195" s="13"/>
      <c r="D195" s="13"/>
      <c r="E195" s="13"/>
      <c r="F195" s="1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3"/>
      <c r="B196" s="13"/>
      <c r="C196" s="13"/>
      <c r="D196" s="13"/>
      <c r="E196" s="13"/>
      <c r="F196" s="1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3"/>
      <c r="B197" s="13"/>
      <c r="C197" s="13"/>
      <c r="D197" s="13"/>
      <c r="E197" s="13"/>
      <c r="F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3"/>
      <c r="B198" s="13"/>
      <c r="C198" s="13"/>
      <c r="D198" s="13"/>
      <c r="E198" s="13"/>
      <c r="F198" s="1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3"/>
      <c r="B199" s="13"/>
      <c r="C199" s="13"/>
      <c r="D199" s="13"/>
      <c r="E199" s="13"/>
      <c r="F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3"/>
      <c r="B200" s="13"/>
      <c r="C200" s="13"/>
      <c r="D200" s="13"/>
      <c r="E200" s="13"/>
      <c r="F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3"/>
      <c r="B201" s="13"/>
      <c r="C201" s="13"/>
      <c r="D201" s="13"/>
      <c r="E201" s="13"/>
      <c r="F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3"/>
      <c r="B202" s="13"/>
      <c r="C202" s="13"/>
      <c r="D202" s="13"/>
      <c r="E202" s="13"/>
      <c r="F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3"/>
      <c r="B203" s="13"/>
      <c r="C203" s="13"/>
      <c r="D203" s="13"/>
      <c r="E203" s="13"/>
      <c r="F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3"/>
      <c r="B204" s="13"/>
      <c r="C204" s="13"/>
      <c r="D204" s="13"/>
      <c r="E204" s="13"/>
      <c r="F204" s="1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3"/>
      <c r="B205" s="13"/>
      <c r="C205" s="13"/>
      <c r="D205" s="13"/>
      <c r="E205" s="13"/>
      <c r="F205" s="1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3"/>
      <c r="B206" s="13"/>
      <c r="C206" s="13"/>
      <c r="D206" s="13"/>
      <c r="E206" s="13"/>
      <c r="F206" s="1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3"/>
      <c r="B207" s="13"/>
      <c r="C207" s="13"/>
      <c r="D207" s="13"/>
      <c r="E207" s="13"/>
      <c r="F207" s="1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3"/>
      <c r="B208" s="13"/>
      <c r="C208" s="13"/>
      <c r="D208" s="13"/>
      <c r="E208" s="13"/>
      <c r="F208" s="1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3"/>
      <c r="B209" s="13"/>
      <c r="C209" s="13"/>
      <c r="D209" s="13"/>
      <c r="E209" s="13"/>
      <c r="F209" s="1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3"/>
      <c r="B210" s="13"/>
      <c r="C210" s="13"/>
      <c r="D210" s="13"/>
      <c r="E210" s="13"/>
      <c r="F210" s="1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3"/>
      <c r="B211" s="13"/>
      <c r="C211" s="13"/>
      <c r="D211" s="13"/>
      <c r="E211" s="13"/>
      <c r="F211" s="1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3"/>
      <c r="B212" s="13"/>
      <c r="C212" s="13"/>
      <c r="D212" s="13"/>
      <c r="E212" s="13"/>
      <c r="F212" s="1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3"/>
      <c r="B213" s="13"/>
      <c r="C213" s="13"/>
      <c r="D213" s="13"/>
      <c r="E213" s="13"/>
      <c r="F213" s="1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3"/>
      <c r="B214" s="13"/>
      <c r="C214" s="13"/>
      <c r="D214" s="13"/>
      <c r="E214" s="13"/>
      <c r="F214" s="1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3"/>
      <c r="B215" s="13"/>
      <c r="C215" s="13"/>
      <c r="D215" s="13"/>
      <c r="E215" s="13"/>
      <c r="F215" s="1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3"/>
      <c r="B216" s="13"/>
      <c r="C216" s="13"/>
      <c r="D216" s="13"/>
      <c r="E216" s="13"/>
      <c r="F216" s="1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3"/>
      <c r="B217" s="13"/>
      <c r="C217" s="13"/>
      <c r="D217" s="13"/>
      <c r="E217" s="13"/>
      <c r="F217" s="1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3"/>
      <c r="B218" s="13"/>
      <c r="C218" s="13"/>
      <c r="D218" s="13"/>
      <c r="E218" s="13"/>
      <c r="F218" s="1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3"/>
      <c r="B219" s="13"/>
      <c r="C219" s="13"/>
      <c r="D219" s="13"/>
      <c r="E219" s="13"/>
      <c r="F219" s="1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3"/>
      <c r="B220" s="13"/>
      <c r="C220" s="13"/>
      <c r="D220" s="13"/>
      <c r="E220" s="13"/>
      <c r="F220" s="1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3"/>
      <c r="B221" s="13"/>
      <c r="C221" s="13"/>
      <c r="D221" s="13"/>
      <c r="E221" s="13"/>
      <c r="F221" s="1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3"/>
      <c r="B222" s="13"/>
      <c r="C222" s="13"/>
      <c r="D222" s="13"/>
      <c r="E222" s="13"/>
      <c r="F222" s="1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3"/>
      <c r="B223" s="13"/>
      <c r="C223" s="13"/>
      <c r="D223" s="13"/>
      <c r="E223" s="13"/>
      <c r="F223" s="1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3"/>
      <c r="B224" s="13"/>
      <c r="C224" s="13"/>
      <c r="D224" s="13"/>
      <c r="E224" s="13"/>
      <c r="F224" s="1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3"/>
      <c r="B225" s="13"/>
      <c r="C225" s="13"/>
      <c r="D225" s="13"/>
      <c r="E225" s="13"/>
      <c r="F225" s="1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3"/>
      <c r="B226" s="13"/>
      <c r="C226" s="13"/>
      <c r="D226" s="13"/>
      <c r="E226" s="13"/>
      <c r="F226" s="1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3"/>
      <c r="B227" s="13"/>
      <c r="C227" s="13"/>
      <c r="D227" s="13"/>
      <c r="E227" s="13"/>
      <c r="F227" s="1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3"/>
      <c r="B228" s="13"/>
      <c r="C228" s="13"/>
      <c r="D228" s="13"/>
      <c r="E228" s="13"/>
      <c r="F228" s="1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3"/>
      <c r="B229" s="13"/>
      <c r="C229" s="13"/>
      <c r="D229" s="13"/>
      <c r="E229" s="13"/>
      <c r="F229" s="1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3"/>
      <c r="B230" s="13"/>
      <c r="C230" s="13"/>
      <c r="D230" s="13"/>
      <c r="E230" s="13"/>
      <c r="F230" s="1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3"/>
      <c r="B231" s="13"/>
      <c r="C231" s="13"/>
      <c r="D231" s="13"/>
      <c r="E231" s="13"/>
      <c r="F231" s="1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3"/>
      <c r="B232" s="13"/>
      <c r="C232" s="13"/>
      <c r="D232" s="13"/>
      <c r="E232" s="13"/>
      <c r="F232" s="1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3"/>
      <c r="B233" s="13"/>
      <c r="C233" s="13"/>
      <c r="D233" s="13"/>
      <c r="E233" s="13"/>
      <c r="F233" s="1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3"/>
      <c r="B234" s="13"/>
      <c r="C234" s="13"/>
      <c r="D234" s="13"/>
      <c r="E234" s="13"/>
      <c r="F234" s="1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3"/>
      <c r="B235" s="13"/>
      <c r="C235" s="13"/>
      <c r="D235" s="13"/>
      <c r="E235" s="13"/>
      <c r="F235" s="1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3"/>
      <c r="B236" s="13"/>
      <c r="C236" s="13"/>
      <c r="D236" s="13"/>
      <c r="E236" s="13"/>
      <c r="F236" s="1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3"/>
      <c r="B237" s="13"/>
      <c r="C237" s="13"/>
      <c r="D237" s="13"/>
      <c r="E237" s="13"/>
      <c r="F237" s="1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3"/>
      <c r="B238" s="13"/>
      <c r="C238" s="13"/>
      <c r="D238" s="13"/>
      <c r="E238" s="13"/>
      <c r="F238" s="1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3"/>
      <c r="B239" s="13"/>
      <c r="C239" s="13"/>
      <c r="D239" s="13"/>
      <c r="E239" s="13"/>
      <c r="F239" s="1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3"/>
      <c r="B240" s="13"/>
      <c r="C240" s="13"/>
      <c r="D240" s="13"/>
      <c r="E240" s="13"/>
      <c r="F240" s="1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7">
    <mergeCell ref="C1:E1"/>
    <mergeCell ref="C2:E2"/>
    <mergeCell ref="C3:E3"/>
    <mergeCell ref="C4:E4"/>
    <mergeCell ref="C5:E5"/>
    <mergeCell ref="C6:E6"/>
    <mergeCell ref="A7:F7"/>
  </mergeCells>
  <dataValidations>
    <dataValidation type="list" allowBlank="1" showErrorMessage="1" sqref="C9:D26 C28:D33 C35:D36 C38:D39 C41:D46 C48:D52 C54:D57">
      <formula1>"0,1,2,3"</formula1>
    </dataValidation>
  </dataValidations>
  <hyperlinks>
    <hyperlink r:id="rId1" ref="C4"/>
    <hyperlink r:id="rId2" ref="C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17.88"/>
    <col customWidth="1" min="3" max="4" width="19.0"/>
    <col customWidth="1" min="5" max="5" width="18.75"/>
    <col customWidth="1" min="6" max="6" width="12.63"/>
  </cols>
  <sheetData>
    <row r="1" ht="15.75" customHeight="1">
      <c r="A1" s="29" t="s">
        <v>104</v>
      </c>
      <c r="B1" s="29" t="s">
        <v>64</v>
      </c>
      <c r="C1" s="29" t="s">
        <v>105</v>
      </c>
      <c r="D1" s="29" t="s">
        <v>106</v>
      </c>
      <c r="E1" s="29" t="s">
        <v>1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8.0" customHeight="1">
      <c r="A2" s="27" t="s">
        <v>107</v>
      </c>
      <c r="B2" s="31">
        <v>112.0</v>
      </c>
      <c r="C2" s="31">
        <v>129.0</v>
      </c>
      <c r="D2" s="32">
        <f>ROUND((B2/C2*100), 0)</f>
        <v>87</v>
      </c>
      <c r="E2" s="33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8.0" customHeight="1">
      <c r="A3" s="27" t="s">
        <v>108</v>
      </c>
      <c r="B3" s="31">
        <v>105.0</v>
      </c>
      <c r="C3" s="31">
        <v>129.0</v>
      </c>
      <c r="D3" s="32">
        <f>B3/C3*100</f>
        <v>81.39534884</v>
      </c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4"/>
      <c r="B4" s="32"/>
      <c r="C4" s="32"/>
      <c r="D4" s="32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4"/>
      <c r="B5" s="32"/>
      <c r="C5" s="32"/>
      <c r="D5" s="32"/>
      <c r="E5" s="33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4"/>
      <c r="B6" s="32"/>
      <c r="C6" s="32"/>
      <c r="D6" s="32"/>
      <c r="E6" s="33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12"/>
      <c r="B7" s="32"/>
      <c r="C7" s="32"/>
      <c r="D7" s="32"/>
      <c r="E7" s="33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12"/>
      <c r="B8" s="32"/>
      <c r="C8" s="32"/>
      <c r="D8" s="32"/>
      <c r="E8" s="33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12"/>
      <c r="B9" s="32"/>
      <c r="C9" s="32"/>
      <c r="D9" s="32"/>
      <c r="E9" s="3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12"/>
      <c r="B10" s="32"/>
      <c r="C10" s="32"/>
      <c r="D10" s="32"/>
      <c r="E10" s="33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12"/>
      <c r="B11" s="32"/>
      <c r="C11" s="32"/>
      <c r="D11" s="32"/>
      <c r="E11" s="33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12"/>
      <c r="B12" s="32"/>
      <c r="C12" s="32"/>
      <c r="D12" s="32"/>
      <c r="E12" s="33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12"/>
      <c r="B13" s="32"/>
      <c r="C13" s="32"/>
      <c r="D13" s="32"/>
      <c r="E13" s="33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12"/>
      <c r="B14" s="32"/>
      <c r="C14" s="32"/>
      <c r="D14" s="32"/>
      <c r="E14" s="33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12"/>
      <c r="B15" s="32"/>
      <c r="C15" s="32"/>
      <c r="D15" s="32"/>
      <c r="E15" s="33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12"/>
      <c r="B16" s="32"/>
      <c r="C16" s="32"/>
      <c r="D16" s="32"/>
      <c r="E16" s="33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12"/>
      <c r="B17" s="32"/>
      <c r="C17" s="32"/>
      <c r="D17" s="32"/>
      <c r="E17" s="33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12"/>
      <c r="B18" s="32"/>
      <c r="C18" s="32"/>
      <c r="D18" s="32"/>
      <c r="E18" s="33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12"/>
      <c r="B19" s="32"/>
      <c r="C19" s="32"/>
      <c r="D19" s="32"/>
      <c r="E19" s="33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12"/>
      <c r="B20" s="32"/>
      <c r="C20" s="32"/>
      <c r="D20" s="32"/>
      <c r="E20" s="33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12"/>
      <c r="B21" s="32"/>
      <c r="C21" s="32"/>
      <c r="D21" s="32"/>
      <c r="E21" s="33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12"/>
      <c r="B22" s="32"/>
      <c r="C22" s="32"/>
      <c r="D22" s="32"/>
      <c r="E22" s="33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12"/>
      <c r="B23" s="32"/>
      <c r="C23" s="32"/>
      <c r="D23" s="32"/>
      <c r="E23" s="33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2"/>
      <c r="B24" s="32"/>
      <c r="C24" s="32"/>
      <c r="D24" s="32"/>
      <c r="E24" s="33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12"/>
      <c r="B25" s="32"/>
      <c r="C25" s="32"/>
      <c r="D25" s="32"/>
      <c r="E25" s="33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12"/>
      <c r="B26" s="32"/>
      <c r="C26" s="32"/>
      <c r="D26" s="32"/>
      <c r="E26" s="33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12"/>
      <c r="B27" s="32"/>
      <c r="C27" s="32"/>
      <c r="D27" s="32"/>
      <c r="E27" s="33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12"/>
      <c r="B28" s="32"/>
      <c r="C28" s="32"/>
      <c r="D28" s="32"/>
      <c r="E28" s="33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12"/>
      <c r="B29" s="32"/>
      <c r="C29" s="32"/>
      <c r="D29" s="32"/>
      <c r="E29" s="33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12"/>
      <c r="B30" s="32"/>
      <c r="C30" s="32"/>
      <c r="D30" s="32"/>
      <c r="E30" s="33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12"/>
      <c r="B31" s="32"/>
      <c r="C31" s="32"/>
      <c r="D31" s="32"/>
      <c r="E31" s="33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12"/>
      <c r="B32" s="32"/>
      <c r="C32" s="32"/>
      <c r="D32" s="32"/>
      <c r="E32" s="33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12"/>
      <c r="B33" s="32"/>
      <c r="C33" s="32"/>
      <c r="D33" s="32"/>
      <c r="E33" s="33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12"/>
      <c r="B34" s="32"/>
      <c r="C34" s="32"/>
      <c r="D34" s="32"/>
      <c r="E34" s="33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12"/>
      <c r="B35" s="32"/>
      <c r="C35" s="32"/>
      <c r="D35" s="32"/>
      <c r="E35" s="33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12"/>
      <c r="B36" s="32"/>
      <c r="C36" s="32"/>
      <c r="D36" s="32"/>
      <c r="E36" s="33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12"/>
      <c r="B37" s="32"/>
      <c r="C37" s="32"/>
      <c r="D37" s="32"/>
      <c r="E37" s="33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12"/>
      <c r="B38" s="32"/>
      <c r="C38" s="32"/>
      <c r="D38" s="32"/>
      <c r="E38" s="33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12"/>
      <c r="B39" s="32"/>
      <c r="C39" s="32"/>
      <c r="D39" s="32"/>
      <c r="E39" s="33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12"/>
      <c r="B40" s="32"/>
      <c r="C40" s="32"/>
      <c r="D40" s="32"/>
      <c r="E40" s="33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12"/>
      <c r="B41" s="32"/>
      <c r="C41" s="32"/>
      <c r="D41" s="32"/>
      <c r="E41" s="33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12"/>
      <c r="B42" s="32"/>
      <c r="C42" s="32"/>
      <c r="D42" s="32"/>
      <c r="E42" s="33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12"/>
      <c r="B43" s="32"/>
      <c r="C43" s="32"/>
      <c r="D43" s="32"/>
      <c r="E43" s="33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12"/>
      <c r="B44" s="32"/>
      <c r="C44" s="32"/>
      <c r="D44" s="32"/>
      <c r="E44" s="33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12"/>
      <c r="B45" s="32"/>
      <c r="C45" s="32"/>
      <c r="D45" s="32"/>
      <c r="E45" s="33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12"/>
      <c r="B46" s="32"/>
      <c r="C46" s="32"/>
      <c r="D46" s="32"/>
      <c r="E46" s="33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12"/>
      <c r="B47" s="32"/>
      <c r="C47" s="32"/>
      <c r="D47" s="32"/>
      <c r="E47" s="33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12"/>
      <c r="B48" s="32"/>
      <c r="C48" s="32"/>
      <c r="D48" s="32"/>
      <c r="E48" s="33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12"/>
      <c r="B49" s="32"/>
      <c r="C49" s="32"/>
      <c r="D49" s="32"/>
      <c r="E49" s="33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12"/>
      <c r="B50" s="32"/>
      <c r="C50" s="32"/>
      <c r="D50" s="32"/>
      <c r="E50" s="33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12"/>
      <c r="B51" s="32"/>
      <c r="C51" s="32"/>
      <c r="D51" s="32"/>
      <c r="E51" s="33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12"/>
      <c r="B52" s="32"/>
      <c r="C52" s="32"/>
      <c r="D52" s="32"/>
      <c r="E52" s="33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12"/>
      <c r="B53" s="32"/>
      <c r="C53" s="32"/>
      <c r="D53" s="32"/>
      <c r="E53" s="33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12"/>
      <c r="B54" s="32"/>
      <c r="C54" s="32"/>
      <c r="D54" s="32"/>
      <c r="E54" s="3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12"/>
      <c r="B55" s="32"/>
      <c r="C55" s="32"/>
      <c r="D55" s="32"/>
      <c r="E55" s="3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12"/>
      <c r="B56" s="32"/>
      <c r="C56" s="32"/>
      <c r="D56" s="32"/>
      <c r="E56" s="3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12"/>
      <c r="B57" s="32"/>
      <c r="C57" s="32"/>
      <c r="D57" s="32"/>
      <c r="E57" s="3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12"/>
      <c r="B58" s="32"/>
      <c r="C58" s="32"/>
      <c r="D58" s="32"/>
      <c r="E58" s="3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12"/>
      <c r="B59" s="32"/>
      <c r="C59" s="32"/>
      <c r="D59" s="32"/>
      <c r="E59" s="3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12"/>
      <c r="B60" s="32"/>
      <c r="C60" s="32"/>
      <c r="D60" s="32"/>
      <c r="E60" s="3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12"/>
      <c r="B61" s="32"/>
      <c r="C61" s="32"/>
      <c r="D61" s="32"/>
      <c r="E61" s="3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12"/>
      <c r="B62" s="32"/>
      <c r="C62" s="32"/>
      <c r="D62" s="32"/>
      <c r="E62" s="3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12"/>
      <c r="B63" s="32"/>
      <c r="C63" s="32"/>
      <c r="D63" s="32"/>
      <c r="E63" s="3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12"/>
      <c r="B64" s="32"/>
      <c r="C64" s="32"/>
      <c r="D64" s="32"/>
      <c r="E64" s="3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12"/>
      <c r="B65" s="32"/>
      <c r="C65" s="32"/>
      <c r="D65" s="32"/>
      <c r="E65" s="33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12"/>
      <c r="B66" s="32"/>
      <c r="C66" s="32"/>
      <c r="D66" s="32"/>
      <c r="E66" s="33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12"/>
      <c r="B67" s="32"/>
      <c r="C67" s="32"/>
      <c r="D67" s="32"/>
      <c r="E67" s="3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12"/>
      <c r="B68" s="32"/>
      <c r="C68" s="32"/>
      <c r="D68" s="32"/>
      <c r="E68" s="33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12"/>
      <c r="B69" s="32"/>
      <c r="C69" s="32"/>
      <c r="D69" s="32"/>
      <c r="E69" s="33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12"/>
      <c r="B70" s="32"/>
      <c r="C70" s="32"/>
      <c r="D70" s="32"/>
      <c r="E70" s="33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12"/>
      <c r="B71" s="32"/>
      <c r="C71" s="32"/>
      <c r="D71" s="32"/>
      <c r="E71" s="33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12"/>
      <c r="B72" s="32"/>
      <c r="C72" s="32"/>
      <c r="D72" s="32"/>
      <c r="E72" s="33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12"/>
      <c r="B73" s="32"/>
      <c r="C73" s="32"/>
      <c r="D73" s="32"/>
      <c r="E73" s="33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12"/>
      <c r="B74" s="32"/>
      <c r="C74" s="32"/>
      <c r="D74" s="32"/>
      <c r="E74" s="33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12"/>
      <c r="B75" s="32"/>
      <c r="C75" s="32"/>
      <c r="D75" s="32"/>
      <c r="E75" s="33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12"/>
      <c r="B76" s="32"/>
      <c r="C76" s="32"/>
      <c r="D76" s="32"/>
      <c r="E76" s="33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12"/>
      <c r="B77" s="32"/>
      <c r="C77" s="32"/>
      <c r="D77" s="32"/>
      <c r="E77" s="33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12"/>
      <c r="B78" s="32"/>
      <c r="C78" s="32"/>
      <c r="D78" s="32"/>
      <c r="E78" s="33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12"/>
      <c r="B79" s="32"/>
      <c r="C79" s="32"/>
      <c r="D79" s="32"/>
      <c r="E79" s="33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12"/>
      <c r="B80" s="32"/>
      <c r="C80" s="32"/>
      <c r="D80" s="32"/>
      <c r="E80" s="33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12"/>
      <c r="B81" s="32"/>
      <c r="C81" s="32"/>
      <c r="D81" s="32"/>
      <c r="E81" s="33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12"/>
      <c r="B82" s="32"/>
      <c r="C82" s="32"/>
      <c r="D82" s="32"/>
      <c r="E82" s="33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12"/>
      <c r="B83" s="32"/>
      <c r="C83" s="32"/>
      <c r="D83" s="32"/>
      <c r="E83" s="33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12"/>
      <c r="B84" s="32"/>
      <c r="C84" s="32"/>
      <c r="D84" s="32"/>
      <c r="E84" s="33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12"/>
      <c r="B85" s="32"/>
      <c r="C85" s="32"/>
      <c r="D85" s="32"/>
      <c r="E85" s="33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12"/>
      <c r="B86" s="32"/>
      <c r="C86" s="32"/>
      <c r="D86" s="32"/>
      <c r="E86" s="33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12"/>
      <c r="B87" s="32"/>
      <c r="C87" s="32"/>
      <c r="D87" s="32"/>
      <c r="E87" s="33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12"/>
      <c r="B88" s="32"/>
      <c r="C88" s="32"/>
      <c r="D88" s="32"/>
      <c r="E88" s="33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12"/>
      <c r="B89" s="32"/>
      <c r="C89" s="32"/>
      <c r="D89" s="32"/>
      <c r="E89" s="33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12"/>
      <c r="B90" s="32"/>
      <c r="C90" s="32"/>
      <c r="D90" s="32"/>
      <c r="E90" s="33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12"/>
      <c r="B91" s="32"/>
      <c r="C91" s="32"/>
      <c r="D91" s="32"/>
      <c r="E91" s="33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12"/>
      <c r="B92" s="32"/>
      <c r="C92" s="32"/>
      <c r="D92" s="32"/>
      <c r="E92" s="33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12"/>
      <c r="B93" s="32"/>
      <c r="C93" s="32"/>
      <c r="D93" s="32"/>
      <c r="E93" s="33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12"/>
      <c r="B94" s="32"/>
      <c r="C94" s="32"/>
      <c r="D94" s="32"/>
      <c r="E94" s="33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12"/>
      <c r="B95" s="32"/>
      <c r="C95" s="32"/>
      <c r="D95" s="32"/>
      <c r="E95" s="33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12"/>
      <c r="B96" s="32"/>
      <c r="C96" s="32"/>
      <c r="D96" s="32"/>
      <c r="E96" s="33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12"/>
      <c r="B97" s="32"/>
      <c r="C97" s="32"/>
      <c r="D97" s="32"/>
      <c r="E97" s="33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12"/>
      <c r="B98" s="32"/>
      <c r="C98" s="32"/>
      <c r="D98" s="32"/>
      <c r="E98" s="33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12"/>
      <c r="B99" s="32"/>
      <c r="C99" s="32"/>
      <c r="D99" s="32"/>
      <c r="E99" s="33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12"/>
      <c r="B100" s="32"/>
      <c r="C100" s="32"/>
      <c r="D100" s="32"/>
      <c r="E100" s="33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12"/>
      <c r="B101" s="32"/>
      <c r="C101" s="32"/>
      <c r="D101" s="32"/>
      <c r="E101" s="33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12"/>
      <c r="B102" s="32"/>
      <c r="C102" s="32"/>
      <c r="D102" s="32"/>
      <c r="E102" s="33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12"/>
      <c r="B103" s="32"/>
      <c r="C103" s="32"/>
      <c r="D103" s="32"/>
      <c r="E103" s="33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12"/>
      <c r="B104" s="32"/>
      <c r="C104" s="32"/>
      <c r="D104" s="32"/>
      <c r="E104" s="33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12"/>
      <c r="B105" s="32"/>
      <c r="C105" s="32"/>
      <c r="D105" s="32"/>
      <c r="E105" s="33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12"/>
      <c r="B106" s="32"/>
      <c r="C106" s="32"/>
      <c r="D106" s="32"/>
      <c r="E106" s="33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12"/>
      <c r="B107" s="32"/>
      <c r="C107" s="32"/>
      <c r="D107" s="32"/>
      <c r="E107" s="33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12"/>
      <c r="B108" s="32"/>
      <c r="C108" s="32"/>
      <c r="D108" s="32"/>
      <c r="E108" s="33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12"/>
      <c r="B109" s="32"/>
      <c r="C109" s="32"/>
      <c r="D109" s="32"/>
      <c r="E109" s="33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12"/>
      <c r="B110" s="32"/>
      <c r="C110" s="32"/>
      <c r="D110" s="32"/>
      <c r="E110" s="33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12"/>
      <c r="B111" s="32"/>
      <c r="C111" s="32"/>
      <c r="D111" s="32"/>
      <c r="E111" s="33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12"/>
      <c r="B112" s="32"/>
      <c r="C112" s="32"/>
      <c r="D112" s="32"/>
      <c r="E112" s="33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12"/>
      <c r="B113" s="32"/>
      <c r="C113" s="32"/>
      <c r="D113" s="32"/>
      <c r="E113" s="33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12"/>
      <c r="B114" s="32"/>
      <c r="C114" s="32"/>
      <c r="D114" s="32"/>
      <c r="E114" s="33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12"/>
      <c r="B115" s="32"/>
      <c r="C115" s="32"/>
      <c r="D115" s="32"/>
      <c r="E115" s="33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12"/>
      <c r="B116" s="32"/>
      <c r="C116" s="32"/>
      <c r="D116" s="32"/>
      <c r="E116" s="33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12"/>
      <c r="B117" s="32"/>
      <c r="C117" s="32"/>
      <c r="D117" s="32"/>
      <c r="E117" s="33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12"/>
      <c r="B118" s="32"/>
      <c r="C118" s="32"/>
      <c r="D118" s="32"/>
      <c r="E118" s="33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12"/>
      <c r="B119" s="32"/>
      <c r="C119" s="32"/>
      <c r="D119" s="32"/>
      <c r="E119" s="33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12"/>
      <c r="B120" s="32"/>
      <c r="C120" s="32"/>
      <c r="D120" s="32"/>
      <c r="E120" s="33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12"/>
      <c r="B121" s="32"/>
      <c r="C121" s="32"/>
      <c r="D121" s="32"/>
      <c r="E121" s="33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12"/>
      <c r="B122" s="32"/>
      <c r="C122" s="32"/>
      <c r="D122" s="32"/>
      <c r="E122" s="33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12"/>
      <c r="B123" s="32"/>
      <c r="C123" s="32"/>
      <c r="D123" s="32"/>
      <c r="E123" s="33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12"/>
      <c r="B124" s="32"/>
      <c r="C124" s="32"/>
      <c r="D124" s="32"/>
      <c r="E124" s="33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12"/>
      <c r="B125" s="32"/>
      <c r="C125" s="32"/>
      <c r="D125" s="32"/>
      <c r="E125" s="33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12"/>
      <c r="B126" s="32"/>
      <c r="C126" s="32"/>
      <c r="D126" s="32"/>
      <c r="E126" s="33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12"/>
      <c r="B127" s="32"/>
      <c r="C127" s="32"/>
      <c r="D127" s="32"/>
      <c r="E127" s="33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12"/>
      <c r="B128" s="32"/>
      <c r="C128" s="32"/>
      <c r="D128" s="32"/>
      <c r="E128" s="33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12"/>
      <c r="B129" s="32"/>
      <c r="C129" s="32"/>
      <c r="D129" s="32"/>
      <c r="E129" s="33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12"/>
      <c r="B130" s="32"/>
      <c r="C130" s="32"/>
      <c r="D130" s="32"/>
      <c r="E130" s="33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12"/>
      <c r="B131" s="32"/>
      <c r="C131" s="32"/>
      <c r="D131" s="32"/>
      <c r="E131" s="33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12"/>
      <c r="B132" s="32"/>
      <c r="C132" s="32"/>
      <c r="D132" s="32"/>
      <c r="E132" s="33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12"/>
      <c r="B133" s="32"/>
      <c r="C133" s="32"/>
      <c r="D133" s="32"/>
      <c r="E133" s="33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12"/>
      <c r="B134" s="32"/>
      <c r="C134" s="32"/>
      <c r="D134" s="32"/>
      <c r="E134" s="33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12"/>
      <c r="B135" s="32"/>
      <c r="C135" s="32"/>
      <c r="D135" s="32"/>
      <c r="E135" s="33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12"/>
      <c r="B136" s="32"/>
      <c r="C136" s="32"/>
      <c r="D136" s="32"/>
      <c r="E136" s="33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12"/>
      <c r="B137" s="32"/>
      <c r="C137" s="32"/>
      <c r="D137" s="32"/>
      <c r="E137" s="33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12"/>
      <c r="B138" s="32"/>
      <c r="C138" s="32"/>
      <c r="D138" s="32"/>
      <c r="E138" s="33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12"/>
      <c r="B139" s="32"/>
      <c r="C139" s="32"/>
      <c r="D139" s="32"/>
      <c r="E139" s="33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12"/>
      <c r="B140" s="32"/>
      <c r="C140" s="32"/>
      <c r="D140" s="32"/>
      <c r="E140" s="33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12"/>
      <c r="B141" s="32"/>
      <c r="C141" s="32"/>
      <c r="D141" s="32"/>
      <c r="E141" s="33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12"/>
      <c r="B142" s="32"/>
      <c r="C142" s="32"/>
      <c r="D142" s="32"/>
      <c r="E142" s="33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12"/>
      <c r="B143" s="32"/>
      <c r="C143" s="32"/>
      <c r="D143" s="32"/>
      <c r="E143" s="33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12"/>
      <c r="B144" s="32"/>
      <c r="C144" s="32"/>
      <c r="D144" s="32"/>
      <c r="E144" s="33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12"/>
      <c r="B145" s="32"/>
      <c r="C145" s="32"/>
      <c r="D145" s="32"/>
      <c r="E145" s="33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12"/>
      <c r="B146" s="32"/>
      <c r="C146" s="32"/>
      <c r="D146" s="32"/>
      <c r="E146" s="33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12"/>
      <c r="B147" s="32"/>
      <c r="C147" s="32"/>
      <c r="D147" s="32"/>
      <c r="E147" s="33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12"/>
      <c r="B148" s="32"/>
      <c r="C148" s="32"/>
      <c r="D148" s="32"/>
      <c r="E148" s="33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12"/>
      <c r="B149" s="32"/>
      <c r="C149" s="32"/>
      <c r="D149" s="32"/>
      <c r="E149" s="33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12"/>
      <c r="B150" s="32"/>
      <c r="C150" s="32"/>
      <c r="D150" s="32"/>
      <c r="E150" s="33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12"/>
      <c r="B151" s="32"/>
      <c r="C151" s="32"/>
      <c r="D151" s="32"/>
      <c r="E151" s="33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12"/>
      <c r="B152" s="32"/>
      <c r="C152" s="32"/>
      <c r="D152" s="32"/>
      <c r="E152" s="33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12"/>
      <c r="B153" s="32"/>
      <c r="C153" s="32"/>
      <c r="D153" s="32"/>
      <c r="E153" s="33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12"/>
      <c r="B154" s="32"/>
      <c r="C154" s="32"/>
      <c r="D154" s="32"/>
      <c r="E154" s="33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12"/>
      <c r="B155" s="32"/>
      <c r="C155" s="32"/>
      <c r="D155" s="32"/>
      <c r="E155" s="33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12"/>
      <c r="B156" s="32"/>
      <c r="C156" s="32"/>
      <c r="D156" s="32"/>
      <c r="E156" s="33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12"/>
      <c r="B157" s="32"/>
      <c r="C157" s="32"/>
      <c r="D157" s="32"/>
      <c r="E157" s="33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12"/>
      <c r="B158" s="32"/>
      <c r="C158" s="32"/>
      <c r="D158" s="32"/>
      <c r="E158" s="33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12"/>
      <c r="B159" s="32"/>
      <c r="C159" s="32"/>
      <c r="D159" s="32"/>
      <c r="E159" s="33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12"/>
      <c r="B160" s="32"/>
      <c r="C160" s="32"/>
      <c r="D160" s="32"/>
      <c r="E160" s="33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12"/>
      <c r="B161" s="32"/>
      <c r="C161" s="32"/>
      <c r="D161" s="32"/>
      <c r="E161" s="33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12"/>
      <c r="B162" s="32"/>
      <c r="C162" s="32"/>
      <c r="D162" s="32"/>
      <c r="E162" s="33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12"/>
      <c r="B163" s="32"/>
      <c r="C163" s="32"/>
      <c r="D163" s="32"/>
      <c r="E163" s="33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12"/>
      <c r="B164" s="32"/>
      <c r="C164" s="32"/>
      <c r="D164" s="32"/>
      <c r="E164" s="33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12"/>
      <c r="B165" s="32"/>
      <c r="C165" s="32"/>
      <c r="D165" s="32"/>
      <c r="E165" s="33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12"/>
      <c r="B166" s="32"/>
      <c r="C166" s="32"/>
      <c r="D166" s="32"/>
      <c r="E166" s="33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12"/>
      <c r="B167" s="32"/>
      <c r="C167" s="32"/>
      <c r="D167" s="32"/>
      <c r="E167" s="33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12"/>
      <c r="B168" s="32"/>
      <c r="C168" s="32"/>
      <c r="D168" s="32"/>
      <c r="E168" s="33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12"/>
      <c r="B169" s="32"/>
      <c r="C169" s="32"/>
      <c r="D169" s="32"/>
      <c r="E169" s="33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12"/>
      <c r="B170" s="32"/>
      <c r="C170" s="32"/>
      <c r="D170" s="32"/>
      <c r="E170" s="33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12"/>
      <c r="B171" s="32"/>
      <c r="C171" s="32"/>
      <c r="D171" s="32"/>
      <c r="E171" s="33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12"/>
      <c r="B172" s="32"/>
      <c r="C172" s="32"/>
      <c r="D172" s="32"/>
      <c r="E172" s="33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12"/>
      <c r="B173" s="32"/>
      <c r="C173" s="32"/>
      <c r="D173" s="32"/>
      <c r="E173" s="33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12"/>
      <c r="B174" s="32"/>
      <c r="C174" s="32"/>
      <c r="D174" s="32"/>
      <c r="E174" s="33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12"/>
      <c r="B175" s="32"/>
      <c r="C175" s="32"/>
      <c r="D175" s="32"/>
      <c r="E175" s="33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12"/>
      <c r="B176" s="32"/>
      <c r="C176" s="32"/>
      <c r="D176" s="32"/>
      <c r="E176" s="33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12"/>
      <c r="B177" s="32"/>
      <c r="C177" s="32"/>
      <c r="D177" s="32"/>
      <c r="E177" s="33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12"/>
      <c r="B178" s="32"/>
      <c r="C178" s="32"/>
      <c r="D178" s="32"/>
      <c r="E178" s="33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12"/>
      <c r="B179" s="32"/>
      <c r="C179" s="32"/>
      <c r="D179" s="32"/>
      <c r="E179" s="33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12"/>
      <c r="B180" s="32"/>
      <c r="C180" s="32"/>
      <c r="D180" s="32"/>
      <c r="E180" s="33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12"/>
      <c r="B181" s="32"/>
      <c r="C181" s="32"/>
      <c r="D181" s="32"/>
      <c r="E181" s="33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12"/>
      <c r="B182" s="32"/>
      <c r="C182" s="32"/>
      <c r="D182" s="32"/>
      <c r="E182" s="33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12"/>
      <c r="B183" s="32"/>
      <c r="C183" s="32"/>
      <c r="D183" s="32"/>
      <c r="E183" s="33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12"/>
      <c r="B184" s="32"/>
      <c r="C184" s="32"/>
      <c r="D184" s="32"/>
      <c r="E184" s="33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12"/>
      <c r="B185" s="32"/>
      <c r="C185" s="32"/>
      <c r="D185" s="32"/>
      <c r="E185" s="33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12"/>
      <c r="B186" s="32"/>
      <c r="C186" s="32"/>
      <c r="D186" s="32"/>
      <c r="E186" s="33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12"/>
      <c r="B187" s="32"/>
      <c r="C187" s="32"/>
      <c r="D187" s="32"/>
      <c r="E187" s="33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12"/>
      <c r="B188" s="32"/>
      <c r="C188" s="32"/>
      <c r="D188" s="32"/>
      <c r="E188" s="33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12"/>
      <c r="B189" s="32"/>
      <c r="C189" s="32"/>
      <c r="D189" s="32"/>
      <c r="E189" s="33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12"/>
      <c r="B190" s="32"/>
      <c r="C190" s="32"/>
      <c r="D190" s="32"/>
      <c r="E190" s="33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12"/>
      <c r="B191" s="32"/>
      <c r="C191" s="32"/>
      <c r="D191" s="32"/>
      <c r="E191" s="33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12"/>
      <c r="B192" s="32"/>
      <c r="C192" s="32"/>
      <c r="D192" s="32"/>
      <c r="E192" s="33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12"/>
      <c r="B193" s="32"/>
      <c r="C193" s="32"/>
      <c r="D193" s="32"/>
      <c r="E193" s="33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12"/>
      <c r="B194" s="32"/>
      <c r="C194" s="32"/>
      <c r="D194" s="32"/>
      <c r="E194" s="33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12"/>
      <c r="B195" s="32"/>
      <c r="C195" s="32"/>
      <c r="D195" s="32"/>
      <c r="E195" s="33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12"/>
      <c r="B196" s="32"/>
      <c r="C196" s="32"/>
      <c r="D196" s="32"/>
      <c r="E196" s="33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12"/>
      <c r="B197" s="32"/>
      <c r="C197" s="32"/>
      <c r="D197" s="32"/>
      <c r="E197" s="33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12"/>
      <c r="B198" s="32"/>
      <c r="C198" s="32"/>
      <c r="D198" s="32"/>
      <c r="E198" s="33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12"/>
      <c r="B199" s="32"/>
      <c r="C199" s="32"/>
      <c r="D199" s="32"/>
      <c r="E199" s="33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12"/>
      <c r="B200" s="32"/>
      <c r="C200" s="32"/>
      <c r="D200" s="32"/>
      <c r="E200" s="33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12"/>
      <c r="B201" s="32"/>
      <c r="C201" s="32"/>
      <c r="D201" s="32"/>
      <c r="E201" s="33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12"/>
      <c r="B202" s="32"/>
      <c r="C202" s="32"/>
      <c r="D202" s="32"/>
      <c r="E202" s="33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12"/>
      <c r="B203" s="32"/>
      <c r="C203" s="32"/>
      <c r="D203" s="32"/>
      <c r="E203" s="33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12"/>
      <c r="B204" s="32"/>
      <c r="C204" s="32"/>
      <c r="D204" s="32"/>
      <c r="E204" s="33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12"/>
      <c r="B205" s="32"/>
      <c r="C205" s="32"/>
      <c r="D205" s="32"/>
      <c r="E205" s="33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12"/>
      <c r="B206" s="32"/>
      <c r="C206" s="32"/>
      <c r="D206" s="32"/>
      <c r="E206" s="33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12"/>
      <c r="B207" s="32"/>
      <c r="C207" s="32"/>
      <c r="D207" s="32"/>
      <c r="E207" s="33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12"/>
      <c r="B208" s="32"/>
      <c r="C208" s="32"/>
      <c r="D208" s="32"/>
      <c r="E208" s="33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12"/>
      <c r="B209" s="32"/>
      <c r="C209" s="32"/>
      <c r="D209" s="32"/>
      <c r="E209" s="33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12"/>
      <c r="B210" s="32"/>
      <c r="C210" s="32"/>
      <c r="D210" s="32"/>
      <c r="E210" s="33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12"/>
      <c r="B211" s="32"/>
      <c r="C211" s="32"/>
      <c r="D211" s="32"/>
      <c r="E211" s="33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12"/>
      <c r="B212" s="32"/>
      <c r="C212" s="32"/>
      <c r="D212" s="32"/>
      <c r="E212" s="33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12"/>
      <c r="B213" s="32"/>
      <c r="C213" s="32"/>
      <c r="D213" s="32"/>
      <c r="E213" s="33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12"/>
      <c r="B214" s="32"/>
      <c r="C214" s="32"/>
      <c r="D214" s="32"/>
      <c r="E214" s="33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12"/>
      <c r="B215" s="32"/>
      <c r="C215" s="32"/>
      <c r="D215" s="32"/>
      <c r="E215" s="33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12"/>
      <c r="B216" s="32"/>
      <c r="C216" s="32"/>
      <c r="D216" s="32"/>
      <c r="E216" s="33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12"/>
      <c r="B217" s="32"/>
      <c r="C217" s="32"/>
      <c r="D217" s="32"/>
      <c r="E217" s="33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12"/>
      <c r="B218" s="32"/>
      <c r="C218" s="32"/>
      <c r="D218" s="32"/>
      <c r="E218" s="33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12"/>
      <c r="B219" s="32"/>
      <c r="C219" s="32"/>
      <c r="D219" s="32"/>
      <c r="E219" s="33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12"/>
      <c r="B220" s="32"/>
      <c r="C220" s="32"/>
      <c r="D220" s="32"/>
      <c r="E220" s="33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